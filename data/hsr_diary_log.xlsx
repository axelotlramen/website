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rsantra/Documents/discord_things/website/data/"/>
    </mc:Choice>
  </mc:AlternateContent>
  <xr:revisionPtr revIDLastSave="0" documentId="13_ncr:1_{70509102-91EF-A046-8883-12FF2A87B896}" xr6:coauthVersionLast="47" xr6:coauthVersionMax="47" xr10:uidLastSave="{00000000-0000-0000-0000-000000000000}"/>
  <bookViews>
    <workbookView xWindow="10340" yWindow="10320" windowWidth="24220" windowHeight="10320" xr2:uid="{00000000-000D-0000-FFFF-FFFF00000000}"/>
  </bookViews>
  <sheets>
    <sheet name="Diary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4" i="1" s="1"/>
  <c r="D25" i="1" s="1"/>
  <c r="D26" i="1" s="1"/>
  <c r="D27" i="1" s="1"/>
  <c r="D28" i="1" s="1"/>
  <c r="D29" i="1" s="1"/>
  <c r="D30" i="1" s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4" i="1" s="1"/>
  <c r="E25" i="1" s="1"/>
  <c r="E26" i="1" s="1"/>
  <c r="E27" i="1" s="1"/>
  <c r="E28" i="1" s="1"/>
  <c r="E29" i="1" s="1"/>
  <c r="E30" i="1" s="1"/>
  <c r="H30" i="1" a="1"/>
  <c r="H30" i="1" s="1"/>
  <c r="H29" i="1" a="1"/>
  <c r="H29" i="1" s="1"/>
  <c r="H28" i="1" a="1"/>
  <c r="H28" i="1" s="1"/>
  <c r="H27" i="1" a="1"/>
  <c r="H27" i="1" s="1"/>
  <c r="H26" i="1" a="1"/>
  <c r="H26" i="1" s="1"/>
  <c r="H25" i="1" a="1"/>
  <c r="H25" i="1" s="1"/>
  <c r="H24" i="1" a="1"/>
  <c r="H24" i="1" s="1"/>
  <c r="H23" i="1" a="1"/>
  <c r="H23" i="1" s="1"/>
  <c r="H22" i="1" a="1"/>
  <c r="H22" i="1" s="1"/>
  <c r="H21" i="1" a="1"/>
  <c r="H21" i="1" s="1"/>
  <c r="I21" i="1" s="1"/>
  <c r="H20" i="1" a="1"/>
  <c r="H20" i="1" s="1"/>
  <c r="I20" i="1" s="1"/>
  <c r="H19" i="1" a="1"/>
  <c r="H19" i="1" s="1"/>
  <c r="I19" i="1" s="1"/>
  <c r="H18" i="1" a="1"/>
  <c r="H18" i="1" s="1"/>
  <c r="I18" i="1" s="1"/>
  <c r="H17" i="1" a="1"/>
  <c r="H17" i="1" s="1"/>
  <c r="I17" i="1" s="1"/>
  <c r="H16" i="1" a="1"/>
  <c r="H16" i="1" s="1"/>
  <c r="I16" i="1" s="1"/>
  <c r="H15" i="1" a="1"/>
  <c r="H15" i="1" s="1"/>
  <c r="I15" i="1" s="1"/>
  <c r="H14" i="1" a="1"/>
  <c r="H14" i="1" s="1"/>
  <c r="I14" i="1" s="1"/>
  <c r="H13" i="1" a="1"/>
  <c r="H13" i="1" s="1"/>
  <c r="I13" i="1" s="1"/>
  <c r="H12" i="1" a="1"/>
  <c r="H12" i="1" s="1"/>
  <c r="I12" i="1" s="1"/>
  <c r="H11" i="1" a="1"/>
  <c r="H11" i="1" s="1"/>
  <c r="I11" i="1" s="1"/>
  <c r="H10" i="1" a="1"/>
  <c r="H10" i="1" s="1"/>
  <c r="I10" i="1" s="1"/>
  <c r="H9" i="1" a="1"/>
  <c r="H9" i="1" s="1"/>
  <c r="I9" i="1" s="1"/>
  <c r="H8" i="1" a="1"/>
  <c r="H8" i="1" s="1"/>
  <c r="I8" i="1" s="1"/>
  <c r="H7" i="1" a="1"/>
  <c r="H7" i="1" s="1"/>
  <c r="I7" i="1" s="1"/>
  <c r="H6" i="1" a="1"/>
  <c r="H6" i="1" s="1"/>
  <c r="I6" i="1" s="1"/>
  <c r="H5" i="1" a="1"/>
  <c r="H5" i="1" s="1"/>
  <c r="I5" i="1" s="1"/>
  <c r="H4" i="1" a="1"/>
  <c r="H4" i="1" s="1"/>
  <c r="I4" i="1" s="1"/>
  <c r="H3" i="1" a="1"/>
  <c r="H3" i="1" s="1"/>
  <c r="I3" i="1" s="1"/>
  <c r="H2" i="1"/>
  <c r="I2" i="1" s="1"/>
  <c r="E3" i="1"/>
  <c r="D3" i="1"/>
  <c r="F5" i="1" l="1"/>
  <c r="G5" i="1" s="1"/>
  <c r="F4" i="1"/>
  <c r="G4" i="1" s="1"/>
  <c r="F3" i="1"/>
  <c r="G3" i="1" s="1"/>
  <c r="F2" i="1"/>
  <c r="G2" i="1" s="1"/>
  <c r="F6" i="1" l="1"/>
  <c r="G6" i="1" s="1"/>
  <c r="F7" i="1" l="1"/>
  <c r="G7" i="1" s="1"/>
  <c r="F8" i="1" l="1"/>
  <c r="G8" i="1" s="1"/>
  <c r="F9" i="1" l="1"/>
  <c r="G9" i="1" s="1"/>
  <c r="F10" i="1" l="1"/>
  <c r="G10" i="1" s="1"/>
  <c r="F11" i="1" l="1"/>
  <c r="G11" i="1" s="1"/>
  <c r="F12" i="1" l="1"/>
  <c r="G12" i="1" s="1"/>
  <c r="F13" i="1" l="1"/>
  <c r="G13" i="1" s="1"/>
  <c r="F14" i="1" l="1"/>
  <c r="G14" i="1" s="1"/>
  <c r="F15" i="1" l="1"/>
  <c r="G15" i="1" s="1"/>
  <c r="F16" i="1" l="1"/>
  <c r="G16" i="1" s="1"/>
  <c r="F17" i="1" l="1"/>
  <c r="G17" i="1" s="1"/>
  <c r="F18" i="1" l="1"/>
  <c r="G18" i="1" s="1"/>
  <c r="F19" i="1" l="1"/>
  <c r="G19" i="1" s="1"/>
  <c r="F20" i="1" l="1"/>
  <c r="G20" i="1" s="1"/>
  <c r="F21" i="1" l="1"/>
  <c r="G21" i="1" s="1"/>
  <c r="F22" i="1" l="1"/>
  <c r="G22" i="1" s="1"/>
  <c r="I22" i="1" s="1"/>
  <c r="F23" i="1" l="1"/>
  <c r="G23" i="1" s="1"/>
  <c r="I23" i="1" s="1"/>
  <c r="F24" i="1" l="1"/>
  <c r="G24" i="1" s="1"/>
  <c r="I24" i="1" s="1"/>
  <c r="F25" i="1" l="1"/>
  <c r="G25" i="1" s="1"/>
  <c r="I25" i="1" s="1"/>
  <c r="F26" i="1" l="1"/>
  <c r="G26" i="1" s="1"/>
  <c r="I26" i="1" s="1"/>
  <c r="F27" i="1" l="1"/>
  <c r="G27" i="1" s="1"/>
  <c r="I27" i="1" s="1"/>
  <c r="F28" i="1" l="1"/>
  <c r="G28" i="1" s="1"/>
  <c r="I28" i="1" s="1"/>
  <c r="F29" i="1" l="1"/>
  <c r="G29" i="1" s="1"/>
  <c r="I29" i="1" s="1"/>
  <c r="F30" i="1"/>
  <c r="G30" i="1" s="1"/>
  <c r="I3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<sst xmlns="http://schemas.openxmlformats.org/spreadsheetml/2006/main" count="9" uniqueCount="9">
  <si>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Date</t>
  </si>
  <si>
    <t>Net Currency Gain</t>
  </si>
  <si>
    <t>Pulls Net Gain</t>
  </si>
  <si>
    <t>Stellar Jades</t>
  </si>
  <si>
    <t>Pulls</t>
  </si>
  <si>
    <t>Total Pulls</t>
  </si>
  <si>
    <t>Currency Needed for 5 Star</t>
  </si>
  <si>
    <t>3-Week Avg Gain</t>
  </si>
  <si>
    <t>Estimated Days Til 5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</si>
</sst>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3" fillId="3" borderId="1" xfId="0" applyFont="1" applyFill="1" applyBorder="1"/>
    <xf numFmtId="2" fontId="2" fillId="3" borderId="1" xfId="0" applyNumberFormat="1" applyFont="1" applyFill="1" applyBorder="1"/>
    <xf numFmtId="14" fontId="0" fillId="3" borderId="1" xfId="0" applyNumberFormat="1" applyFill="1" applyBorder="1"/>
    <xf numFmtId="0" fontId="5" fillId="0" borderId="2" xfId="0" applyFont="1" applyBorder="1"/>
    <xf numFmtId="2" fontId="4" fillId="0" borderId="2" xfId="0" applyNumberFormat="1" applyFont="1" applyBorder="1"/>
    <xf numFmtId="14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tabSelected="1" workbookViewId="0">
      <pane ySplit="1" topLeftCell="A2" activePane="bottomLeft" state="frozen"/>
      <selection pane="bottomLeft" activeCell="H22" sqref="H22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16" customWidth="1"/>
    <col min="4" max="4" width="18" customWidth="1"/>
    <col min="5" max="5" width="8" customWidth="1"/>
    <col min="6" max="6" width="14" customWidth="1"/>
    <col min="7" max="7" width="28" customWidth="1"/>
    <col min="8" max="8" width="18" customWidth="1"/>
    <col min="9" max="9" width="26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4">
        <v>46074</v>
      </c>
      <c r="B2" s="2">
        <v>150</v>
      </c>
      <c r="C2" s="2">
        <v>0</v>
      </c>
      <c r="D2" s="3">
        <v>271</v>
      </c>
      <c r="E2" s="3">
        <v>210</v>
      </c>
      <c r="F2" s="3">
        <f>D2/160+E2</f>
        <v>211.69374999999999</v>
      </c>
      <c r="G2" s="3">
        <f>MAX((80-F2)*160,0)</f>
        <v>0</v>
      </c>
      <c r="H2" s="3">
        <f>IF(1&gt;=21,SUMPRODUCT(B2:B2+C2:C2*160)/21,0)</f>
        <v>0</v>
      </c>
      <c r="I2" s="3">
        <f>IF(H2&gt;0,G2/H2,0)</f>
        <v>0</v>
      </c>
    </row>
    <row r="3" spans="1:9" x14ac:dyDescent="0.2">
      <c r="A3" s="7">
        <v>46075</v>
      </c>
      <c r="B3" s="5">
        <v>150</v>
      </c>
      <c r="C3" s="5">
        <v>0</v>
      </c>
      <c r="D3" s="6">
        <f>D2+B3</f>
        <v>421</v>
      </c>
      <c r="E3" s="6">
        <f>E2+C3</f>
        <v>210</v>
      </c>
      <c r="F3" s="6">
        <f>D3/160+E3</f>
        <v>212.63124999999999</v>
      </c>
      <c r="G3" s="6">
        <f>MAX((80-F3)*160,0)</f>
        <v>0</v>
      </c>
      <c r="H3" s="6" cm="1">
        <f t="array" ref="H3">IF(2&gt;=21,SUMPRODUCT(B2:B3+C2:C3*160)/21,0)</f>
        <v>0</v>
      </c>
      <c r="I3" s="6">
        <f>IF(H3&gt;0,G3/H3,0)</f>
        <v>0</v>
      </c>
    </row>
    <row r="4" spans="1:9" x14ac:dyDescent="0.2">
      <c r="A4" s="4">
        <v>46076</v>
      </c>
      <c r="B4" s="2">
        <v>150</v>
      </c>
      <c r="C4" s="2">
        <v>0</v>
      </c>
      <c r="D4" s="3">
        <f t="shared" ref="D4:D30" si="0">D3+B4</f>
        <v>571</v>
      </c>
      <c r="E4" s="3">
        <f t="shared" ref="E4:E30" si="1">E3+C4</f>
        <v>210</v>
      </c>
      <c r="F4" s="3">
        <f t="shared" ref="F4:F16" si="2">D4/160+E4</f>
        <v>213.56874999999999</v>
      </c>
      <c r="G4" s="3">
        <f t="shared" ref="G4:G16" si="3">MAX((80-F4)*160,0)</f>
        <v>0</v>
      </c>
      <c r="H4" s="3" cm="1">
        <f t="array" ref="H4">IF(3&gt;=21,SUMPRODUCT(B2:B4+C2:C4*160)/21,0)</f>
        <v>0</v>
      </c>
      <c r="I4" s="3">
        <f t="shared" ref="I4:I16" si="4">IF(H4&gt;0,G4/H4,0)</f>
        <v>0</v>
      </c>
    </row>
    <row r="5" spans="1:9" x14ac:dyDescent="0.2">
      <c r="A5" s="7">
        <v>46077</v>
      </c>
      <c r="B5" s="5">
        <v>150</v>
      </c>
      <c r="C5" s="5">
        <v>0</v>
      </c>
      <c r="D5" s="6">
        <f t="shared" si="0"/>
        <v>721</v>
      </c>
      <c r="E5" s="6">
        <f t="shared" si="1"/>
        <v>210</v>
      </c>
      <c r="F5" s="6">
        <f t="shared" si="2"/>
        <v>214.50624999999999</v>
      </c>
      <c r="G5" s="6">
        <f t="shared" si="3"/>
        <v>0</v>
      </c>
      <c r="H5" s="6" cm="1">
        <f t="array" ref="H5">IF(4&gt;=21,SUMPRODUCT(B2:B5+C2:C5*160)/21,0)</f>
        <v>0</v>
      </c>
      <c r="I5" s="6">
        <f t="shared" si="4"/>
        <v>0</v>
      </c>
    </row>
    <row r="6" spans="1:9" x14ac:dyDescent="0.2">
      <c r="A6" s="4">
        <v>46078</v>
      </c>
      <c r="B6" s="2">
        <v>150</v>
      </c>
      <c r="C6" s="2">
        <v>0</v>
      </c>
      <c r="D6" s="3">
        <f t="shared" si="0"/>
        <v>871</v>
      </c>
      <c r="E6" s="3">
        <f t="shared" si="1"/>
        <v>210</v>
      </c>
      <c r="F6" s="3">
        <f t="shared" si="2"/>
        <v>215.44374999999999</v>
      </c>
      <c r="G6" s="3">
        <f t="shared" si="3"/>
        <v>0</v>
      </c>
      <c r="H6" s="3" cm="1">
        <f t="array" ref="H6">IF(5&gt;=21,SUMPRODUCT(B2:B6+C2:C6*160)/21,0)</f>
        <v>0</v>
      </c>
      <c r="I6" s="3">
        <f t="shared" si="4"/>
        <v>0</v>
      </c>
    </row>
    <row r="7" spans="1:9" x14ac:dyDescent="0.2">
      <c r="A7" s="7">
        <v>46079</v>
      </c>
      <c r="B7" s="5">
        <v>150</v>
      </c>
      <c r="C7" s="5">
        <v>0</v>
      </c>
      <c r="D7" s="6">
        <f t="shared" si="0"/>
        <v>1021</v>
      </c>
      <c r="E7" s="6">
        <f t="shared" si="1"/>
        <v>210</v>
      </c>
      <c r="F7" s="6">
        <f t="shared" si="2"/>
        <v>216.38124999999999</v>
      </c>
      <c r="G7" s="6">
        <f t="shared" si="3"/>
        <v>0</v>
      </c>
      <c r="H7" s="6" cm="1">
        <f t="array" ref="H7">IF(6&gt;=21,SUMPRODUCT(B2:B7+C2:C7*160)/21,0)</f>
        <v>0</v>
      </c>
      <c r="I7" s="6">
        <f t="shared" si="4"/>
        <v>0</v>
      </c>
    </row>
    <row r="8" spans="1:9" x14ac:dyDescent="0.2">
      <c r="A8" s="4">
        <v>46080</v>
      </c>
      <c r="B8" s="2">
        <v>150</v>
      </c>
      <c r="C8" s="2">
        <v>2</v>
      </c>
      <c r="D8" s="3">
        <f t="shared" si="0"/>
        <v>1171</v>
      </c>
      <c r="E8" s="3">
        <f t="shared" si="1"/>
        <v>212</v>
      </c>
      <c r="F8" s="3">
        <f t="shared" si="2"/>
        <v>219.31874999999999</v>
      </c>
      <c r="G8" s="3">
        <f t="shared" si="3"/>
        <v>0</v>
      </c>
      <c r="H8" s="3" cm="1">
        <f t="array" ref="H8">IF(7&gt;=21,SUMPRODUCT(B2:B8+C2:C8*160)/21,0)</f>
        <v>0</v>
      </c>
      <c r="I8" s="3">
        <f t="shared" si="4"/>
        <v>0</v>
      </c>
    </row>
    <row r="9" spans="1:9" x14ac:dyDescent="0.2">
      <c r="A9" s="7">
        <v>46081</v>
      </c>
      <c r="B9" s="5">
        <v>150</v>
      </c>
      <c r="C9" s="5">
        <v>0</v>
      </c>
      <c r="D9" s="6">
        <f t="shared" si="0"/>
        <v>1321</v>
      </c>
      <c r="E9" s="6">
        <f t="shared" si="1"/>
        <v>212</v>
      </c>
      <c r="F9" s="6">
        <f t="shared" si="2"/>
        <v>220.25624999999999</v>
      </c>
      <c r="G9" s="6">
        <f t="shared" si="3"/>
        <v>0</v>
      </c>
      <c r="H9" s="6" cm="1">
        <f t="array" ref="H9">IF(8&gt;=21,SUMPRODUCT(B2:B9+C2:C9*160)/21,0)</f>
        <v>0</v>
      </c>
      <c r="I9" s="6">
        <f t="shared" si="4"/>
        <v>0</v>
      </c>
    </row>
    <row r="10" spans="1:9" x14ac:dyDescent="0.2">
      <c r="A10" s="4">
        <v>46082</v>
      </c>
      <c r="B10" s="2">
        <v>150</v>
      </c>
      <c r="C10" s="2">
        <v>10</v>
      </c>
      <c r="D10" s="3">
        <f t="shared" si="0"/>
        <v>1471</v>
      </c>
      <c r="E10" s="3">
        <f t="shared" si="1"/>
        <v>222</v>
      </c>
      <c r="F10" s="3">
        <f t="shared" si="2"/>
        <v>231.19374999999999</v>
      </c>
      <c r="G10" s="3">
        <f t="shared" si="3"/>
        <v>0</v>
      </c>
      <c r="H10" s="3" cm="1">
        <f t="array" ref="H10">IF(9&gt;=21,SUMPRODUCT(B2:B10+C2:C10*160)/21,0)</f>
        <v>0</v>
      </c>
      <c r="I10" s="3">
        <f t="shared" si="4"/>
        <v>0</v>
      </c>
    </row>
    <row r="11" spans="1:9" x14ac:dyDescent="0.2">
      <c r="A11" s="7">
        <v>46083</v>
      </c>
      <c r="B11" s="5">
        <v>950</v>
      </c>
      <c r="C11" s="5">
        <v>0</v>
      </c>
      <c r="D11" s="6">
        <f t="shared" si="0"/>
        <v>2421</v>
      </c>
      <c r="E11" s="6">
        <f t="shared" si="1"/>
        <v>222</v>
      </c>
      <c r="F11" s="6">
        <f t="shared" si="2"/>
        <v>237.13124999999999</v>
      </c>
      <c r="G11" s="6">
        <f t="shared" si="3"/>
        <v>0</v>
      </c>
      <c r="H11" s="6" cm="1">
        <f t="array" ref="H11">IF(10&gt;=21,SUMPRODUCT(B2:B11+C2:C11*160)/21,0)</f>
        <v>0</v>
      </c>
      <c r="I11" s="6">
        <f t="shared" si="4"/>
        <v>0</v>
      </c>
    </row>
    <row r="12" spans="1:9" x14ac:dyDescent="0.2">
      <c r="A12" s="4">
        <v>46084</v>
      </c>
      <c r="B12" s="2">
        <v>200</v>
      </c>
      <c r="C12" s="2">
        <v>0</v>
      </c>
      <c r="D12" s="3">
        <f t="shared" si="0"/>
        <v>2621</v>
      </c>
      <c r="E12" s="3">
        <f t="shared" si="1"/>
        <v>222</v>
      </c>
      <c r="F12" s="3">
        <f t="shared" si="2"/>
        <v>238.38124999999999</v>
      </c>
      <c r="G12" s="3">
        <f t="shared" si="3"/>
        <v>0</v>
      </c>
      <c r="H12" s="3" cm="1">
        <f t="array" ref="H12">IF(11&gt;=21,SUMPRODUCT(B2:B12+C2:C12*160)/21,0)</f>
        <v>0</v>
      </c>
      <c r="I12" s="3">
        <f t="shared" si="4"/>
        <v>0</v>
      </c>
    </row>
    <row r="13" spans="1:9" x14ac:dyDescent="0.2">
      <c r="A13" s="7">
        <v>46085</v>
      </c>
      <c r="B13" s="5">
        <v>230</v>
      </c>
      <c r="C13" s="5">
        <v>0</v>
      </c>
      <c r="D13" s="6">
        <f t="shared" si="0"/>
        <v>2851</v>
      </c>
      <c r="E13" s="6">
        <f t="shared" si="1"/>
        <v>222</v>
      </c>
      <c r="F13" s="6">
        <f t="shared" si="2"/>
        <v>239.81874999999999</v>
      </c>
      <c r="G13" s="6">
        <f t="shared" si="3"/>
        <v>0</v>
      </c>
      <c r="H13" s="6" cm="1">
        <f t="array" ref="H13">IF(12&gt;=21,SUMPRODUCT(B2:B13+C2:C13*160)/21,0)</f>
        <v>0</v>
      </c>
      <c r="I13" s="6">
        <f t="shared" si="4"/>
        <v>0</v>
      </c>
    </row>
    <row r="14" spans="1:9" x14ac:dyDescent="0.2">
      <c r="A14" s="4">
        <v>46086</v>
      </c>
      <c r="B14" s="2">
        <v>170</v>
      </c>
      <c r="C14" s="2">
        <v>0</v>
      </c>
      <c r="D14" s="3">
        <f t="shared" si="0"/>
        <v>3021</v>
      </c>
      <c r="E14" s="3">
        <f t="shared" si="1"/>
        <v>222</v>
      </c>
      <c r="F14" s="3">
        <f t="shared" si="2"/>
        <v>240.88124999999999</v>
      </c>
      <c r="G14" s="3">
        <f t="shared" si="3"/>
        <v>0</v>
      </c>
      <c r="H14" s="3" cm="1">
        <f t="array" ref="H14">IF(13&gt;=21,SUMPRODUCT(B2:B14+C2:C14*160)/21,0)</f>
        <v>0</v>
      </c>
      <c r="I14" s="3">
        <f t="shared" si="4"/>
        <v>0</v>
      </c>
    </row>
    <row r="15" spans="1:9" x14ac:dyDescent="0.2">
      <c r="A15" s="7">
        <v>46087</v>
      </c>
      <c r="B15" s="5">
        <v>150</v>
      </c>
      <c r="C15" s="5">
        <v>0</v>
      </c>
      <c r="D15" s="6">
        <f t="shared" si="0"/>
        <v>3171</v>
      </c>
      <c r="E15" s="6">
        <f t="shared" si="1"/>
        <v>222</v>
      </c>
      <c r="F15" s="6">
        <f t="shared" si="2"/>
        <v>241.81874999999999</v>
      </c>
      <c r="G15" s="6">
        <f t="shared" si="3"/>
        <v>0</v>
      </c>
      <c r="H15" s="6" cm="1">
        <f t="array" ref="H15">IF(14&gt;=21,SUMPRODUCT(B2:B15+C2:C15*160)/21,0)</f>
        <v>0</v>
      </c>
      <c r="I15" s="6">
        <f t="shared" si="4"/>
        <v>0</v>
      </c>
    </row>
    <row r="16" spans="1:9" x14ac:dyDescent="0.2">
      <c r="A16" s="4">
        <v>46088</v>
      </c>
      <c r="B16" s="2">
        <v>150</v>
      </c>
      <c r="C16" s="2">
        <v>0</v>
      </c>
      <c r="D16" s="3">
        <f t="shared" si="0"/>
        <v>3321</v>
      </c>
      <c r="E16" s="3">
        <f t="shared" si="1"/>
        <v>222</v>
      </c>
      <c r="F16" s="3">
        <f t="shared" si="2"/>
        <v>242.75624999999999</v>
      </c>
      <c r="G16" s="3">
        <f t="shared" si="3"/>
        <v>0</v>
      </c>
      <c r="H16" s="3" cm="1">
        <f t="array" ref="H16">IF(15&gt;=21,SUMPRODUCT(B2:B16+C2:C16*160)/21,0)</f>
        <v>0</v>
      </c>
      <c r="I16" s="3">
        <f t="shared" si="4"/>
        <v>0</v>
      </c>
    </row>
    <row r="17" spans="1:9" x14ac:dyDescent="0.2">
      <c r="A17" s="7">
        <v>46089</v>
      </c>
      <c r="B17" s="5">
        <v>495</v>
      </c>
      <c r="C17" s="5">
        <v>0</v>
      </c>
      <c r="D17" s="6">
        <f t="shared" si="0"/>
        <v>3816</v>
      </c>
      <c r="E17" s="6">
        <f t="shared" si="1"/>
        <v>222</v>
      </c>
      <c r="F17" s="6">
        <f>D17/160+E17</f>
        <v>245.85</v>
      </c>
      <c r="G17" s="6">
        <f>MAX((80-F17)*160,0)</f>
        <v>0</v>
      </c>
      <c r="H17" s="6" cm="1">
        <f t="array" ref="H17">IF(16&gt;=21,SUMPRODUCT(B2:B17+C2:C17*160)/21,0)</f>
        <v>0</v>
      </c>
      <c r="I17" s="6">
        <f>IF(H17&gt;0,G17/H17,0)</f>
        <v>0</v>
      </c>
    </row>
    <row r="18" spans="1:9" x14ac:dyDescent="0.2">
      <c r="A18" s="4">
        <v>46090</v>
      </c>
      <c r="B18" s="2">
        <v>375</v>
      </c>
      <c r="C18" s="2">
        <v>0</v>
      </c>
      <c r="D18" s="3">
        <f t="shared" si="0"/>
        <v>4191</v>
      </c>
      <c r="E18" s="3">
        <f t="shared" si="1"/>
        <v>222</v>
      </c>
      <c r="F18" s="3">
        <f>D18/160+E18</f>
        <v>248.19374999999999</v>
      </c>
      <c r="G18" s="3">
        <f>MAX((80-F18)*160,0)</f>
        <v>0</v>
      </c>
      <c r="H18" s="3" cm="1">
        <f t="array" ref="H18">IF(17&gt;=21,SUMPRODUCT(B2:B18+C2:C18*160)/21,0)</f>
        <v>0</v>
      </c>
      <c r="I18" s="3">
        <f>IF(H18&gt;0,G18/H18,0)</f>
        <v>0</v>
      </c>
    </row>
    <row r="19" spans="1:9" x14ac:dyDescent="0.2">
      <c r="A19" s="7">
        <v>46091</v>
      </c>
      <c r="B19" s="5">
        <v>170</v>
      </c>
      <c r="C19" s="5">
        <v>0</v>
      </c>
      <c r="D19" s="6">
        <f t="shared" si="0"/>
        <v>4361</v>
      </c>
      <c r="E19" s="6">
        <f t="shared" si="1"/>
        <v>222</v>
      </c>
      <c r="F19" s="6">
        <f t="shared" ref="F19:F24" si="5">D19/160+E19</f>
        <v>249.25624999999999</v>
      </c>
      <c r="G19" s="6">
        <f t="shared" ref="G19:G24" si="6">MAX((80-F19)*160,0)</f>
        <v>0</v>
      </c>
      <c r="H19" s="6" cm="1">
        <f t="array" ref="H19">IF(18&gt;=21,SUMPRODUCT(B2:B19+C2:C19*160)/21,0)</f>
        <v>0</v>
      </c>
      <c r="I19" s="6">
        <f t="shared" ref="I19:I24" si="7">IF(H19&gt;0,G19/H19,0)</f>
        <v>0</v>
      </c>
    </row>
    <row r="20" spans="1:9" x14ac:dyDescent="0.2">
      <c r="A20" s="4">
        <v>46092</v>
      </c>
      <c r="B20" s="2">
        <v>150</v>
      </c>
      <c r="C20" s="2">
        <v>0</v>
      </c>
      <c r="D20" s="3">
        <f t="shared" si="0"/>
        <v>4511</v>
      </c>
      <c r="E20" s="3">
        <f t="shared" si="1"/>
        <v>222</v>
      </c>
      <c r="F20" s="3">
        <f t="shared" si="5"/>
        <v>250.19374999999999</v>
      </c>
      <c r="G20" s="3">
        <f t="shared" si="6"/>
        <v>0</v>
      </c>
      <c r="H20" s="3" cm="1">
        <f t="array" ref="H20">IF(19&gt;=21,SUMPRODUCT(B2:B20+C2:C20*160)/21,0)</f>
        <v>0</v>
      </c>
      <c r="I20" s="3">
        <f t="shared" si="7"/>
        <v>0</v>
      </c>
    </row>
    <row r="21" spans="1:9" x14ac:dyDescent="0.2">
      <c r="A21" s="7">
        <v>46093</v>
      </c>
      <c r="B21" s="5">
        <v>150</v>
      </c>
      <c r="C21" s="5">
        <v>0</v>
      </c>
      <c r="D21" s="6">
        <f t="shared" si="0"/>
        <v>4661</v>
      </c>
      <c r="E21" s="6">
        <f t="shared" si="1"/>
        <v>222</v>
      </c>
      <c r="F21" s="6">
        <f t="shared" si="5"/>
        <v>251.13124999999999</v>
      </c>
      <c r="G21" s="6">
        <f t="shared" si="6"/>
        <v>0</v>
      </c>
      <c r="H21" s="6" cm="1">
        <f t="array" ref="H21">IF(20&gt;=21,SUMPRODUCT(B2:B21+C2:C21*160)/21,0)</f>
        <v>0</v>
      </c>
      <c r="I21" s="6">
        <f t="shared" si="7"/>
        <v>0</v>
      </c>
    </row>
    <row r="22" spans="1:9" x14ac:dyDescent="0.2">
      <c r="A22" s="4">
        <v>46094</v>
      </c>
      <c r="B22" s="2">
        <v>470</v>
      </c>
      <c r="C22" s="2">
        <v>0</v>
      </c>
      <c r="D22" s="3">
        <f t="shared" si="0"/>
        <v>5131</v>
      </c>
      <c r="E22" s="3">
        <f t="shared" si="1"/>
        <v>222</v>
      </c>
      <c r="F22" s="3">
        <f t="shared" si="5"/>
        <v>254.06874999999999</v>
      </c>
      <c r="G22" s="3">
        <f t="shared" si="6"/>
        <v>0</v>
      </c>
      <c r="H22" s="3" cm="1">
        <f t="array" ref="H22">IF(21&gt;=21,SUMPRODUCT(B2:B22+C2:C22*160)/21,0)</f>
        <v>330</v>
      </c>
      <c r="I22" s="3">
        <f t="shared" si="7"/>
        <v>0</v>
      </c>
    </row>
    <row r="23" spans="1:9" x14ac:dyDescent="0.2">
      <c r="A23" s="7">
        <v>46095</v>
      </c>
      <c r="B23" s="5">
        <v>160</v>
      </c>
      <c r="C23" s="5">
        <v>0</v>
      </c>
      <c r="D23" s="6">
        <v>56</v>
      </c>
      <c r="E23" s="6">
        <v>200</v>
      </c>
      <c r="F23" s="6">
        <f t="shared" si="5"/>
        <v>200.35</v>
      </c>
      <c r="G23" s="6">
        <f t="shared" si="6"/>
        <v>0</v>
      </c>
      <c r="H23" s="6" cm="1">
        <f t="array" ref="H23">IF(22&gt;=21,SUMPRODUCT(B3:B23+C3:C23*160)/21,0)</f>
        <v>330.47619047619048</v>
      </c>
      <c r="I23" s="6">
        <f t="shared" si="7"/>
        <v>0</v>
      </c>
    </row>
    <row r="24" spans="1:9" x14ac:dyDescent="0.2">
      <c r="A24" s="4">
        <v>46096</v>
      </c>
      <c r="B24" s="2">
        <v>155</v>
      </c>
      <c r="C24" s="2">
        <v>0</v>
      </c>
      <c r="D24" s="3">
        <f t="shared" si="0"/>
        <v>211</v>
      </c>
      <c r="E24" s="3">
        <f t="shared" si="1"/>
        <v>200</v>
      </c>
      <c r="F24" s="3">
        <f t="shared" si="5"/>
        <v>201.31874999999999</v>
      </c>
      <c r="G24" s="3">
        <f t="shared" si="6"/>
        <v>0</v>
      </c>
      <c r="H24" s="3" cm="1">
        <f t="array" ref="H24">IF(23&gt;=21,SUMPRODUCT(B4:B24+C4:C24*160)/21,0)</f>
        <v>330.71428571428572</v>
      </c>
      <c r="I24" s="3">
        <f t="shared" si="7"/>
        <v>0</v>
      </c>
    </row>
    <row r="25" spans="1:9" x14ac:dyDescent="0.2">
      <c r="A25" s="7">
        <v>46097</v>
      </c>
      <c r="B25" s="5">
        <v>1320</v>
      </c>
      <c r="C25" s="5">
        <v>0</v>
      </c>
      <c r="D25" s="6">
        <f t="shared" si="0"/>
        <v>1531</v>
      </c>
      <c r="E25" s="6">
        <f t="shared" si="1"/>
        <v>200</v>
      </c>
      <c r="F25" s="6">
        <f>D25/160+E25</f>
        <v>209.56874999999999</v>
      </c>
      <c r="G25" s="6">
        <f>MAX((80-F25)*160,0)</f>
        <v>0</v>
      </c>
      <c r="H25" s="6" cm="1">
        <f t="array" ref="H25">IF(24&gt;=21,SUMPRODUCT(B5:B25+C5:C25*160)/21,0)</f>
        <v>386.42857142857144</v>
      </c>
      <c r="I25" s="6">
        <f>IF(H25&gt;0,G25/H25,0)</f>
        <v>0</v>
      </c>
    </row>
    <row r="26" spans="1:9" x14ac:dyDescent="0.2">
      <c r="A26" s="4">
        <v>46098</v>
      </c>
      <c r="B26" s="2">
        <v>215</v>
      </c>
      <c r="C26" s="2">
        <v>0</v>
      </c>
      <c r="D26" s="3">
        <f t="shared" si="0"/>
        <v>1746</v>
      </c>
      <c r="E26" s="3">
        <f t="shared" si="1"/>
        <v>200</v>
      </c>
      <c r="F26" s="3">
        <f>D26/160+E26</f>
        <v>210.91249999999999</v>
      </c>
      <c r="G26" s="3">
        <f>MAX((80-F26)*160,0)</f>
        <v>0</v>
      </c>
      <c r="H26" s="3" cm="1">
        <f t="array" ref="H26">IF(25&gt;=21,SUMPRODUCT(B6:B26+C6:C26*160)/21,0)</f>
        <v>389.52380952380952</v>
      </c>
      <c r="I26" s="3">
        <f>IF(H26&gt;0,G26/H26,0)</f>
        <v>0</v>
      </c>
    </row>
    <row r="27" spans="1:9" x14ac:dyDescent="0.2">
      <c r="A27" s="7">
        <v>46099</v>
      </c>
      <c r="B27" s="5">
        <v>150</v>
      </c>
      <c r="C27" s="5">
        <v>0</v>
      </c>
      <c r="D27" s="6">
        <f t="shared" si="0"/>
        <v>1896</v>
      </c>
      <c r="E27" s="6">
        <f t="shared" si="1"/>
        <v>200</v>
      </c>
      <c r="F27" s="6">
        <f t="shared" ref="F27:F28" si="8">D27/160+E27</f>
        <v>211.85</v>
      </c>
      <c r="G27" s="6">
        <f t="shared" ref="G27:G28" si="9">MAX((80-F27)*160,0)</f>
        <v>0</v>
      </c>
      <c r="H27" s="6" cm="1">
        <f t="array" ref="H27">IF(26&gt;=21,SUMPRODUCT(B7:B27+C7:C27*160)/21,0)</f>
        <v>389.52380952380952</v>
      </c>
      <c r="I27" s="6">
        <f t="shared" ref="I27:I28" si="10">IF(H27&gt;0,G27/H27,0)</f>
        <v>0</v>
      </c>
    </row>
    <row r="28" spans="1:9" x14ac:dyDescent="0.2">
      <c r="A28" s="4">
        <v>46100</v>
      </c>
      <c r="B28" s="2">
        <v>170</v>
      </c>
      <c r="C28" s="2">
        <v>0</v>
      </c>
      <c r="D28" s="3">
        <f t="shared" si="0"/>
        <v>2066</v>
      </c>
      <c r="E28" s="3">
        <f t="shared" si="1"/>
        <v>200</v>
      </c>
      <c r="F28" s="3">
        <f t="shared" si="8"/>
        <v>212.91249999999999</v>
      </c>
      <c r="G28" s="3">
        <f t="shared" si="9"/>
        <v>0</v>
      </c>
      <c r="H28" s="3" cm="1">
        <f t="array" ref="H28">IF(27&gt;=21,SUMPRODUCT(B8:B28+C8:C28*160)/21,0)</f>
        <v>390.47619047619048</v>
      </c>
      <c r="I28" s="3">
        <f t="shared" si="10"/>
        <v>0</v>
      </c>
    </row>
    <row r="29" spans="1:9" x14ac:dyDescent="0.2">
      <c r="A29" s="7">
        <v>46101</v>
      </c>
      <c r="B29" s="5">
        <v>150</v>
      </c>
      <c r="C29" s="5">
        <v>0</v>
      </c>
      <c r="D29" s="6">
        <f t="shared" si="0"/>
        <v>2216</v>
      </c>
      <c r="E29" s="6">
        <f t="shared" si="1"/>
        <v>200</v>
      </c>
      <c r="F29" s="6">
        <f>D29/160+E29</f>
        <v>213.85</v>
      </c>
      <c r="G29" s="6">
        <f>MAX((80-F29)*160,0)</f>
        <v>0</v>
      </c>
      <c r="H29" s="6" cm="1">
        <f t="array" ref="H29">IF(28&gt;=21,SUMPRODUCT(B9:B29+C9:C29*160)/21,0)</f>
        <v>375.23809523809524</v>
      </c>
      <c r="I29" s="6">
        <f>IF(H29&gt;0,G29/H29,0)</f>
        <v>0</v>
      </c>
    </row>
    <row r="30" spans="1:9" x14ac:dyDescent="0.2">
      <c r="A30" s="4">
        <v>46102</v>
      </c>
      <c r="B30" s="2">
        <v>150</v>
      </c>
      <c r="C30" s="2">
        <v>0</v>
      </c>
      <c r="D30" s="3">
        <f t="shared" si="0"/>
        <v>2366</v>
      </c>
      <c r="E30" s="3">
        <f t="shared" si="1"/>
        <v>200</v>
      </c>
      <c r="F30" s="3">
        <f>D30/160+E30</f>
        <v>214.78749999999999</v>
      </c>
      <c r="G30" s="3">
        <f>MAX((80-F30)*160,0)</f>
        <v>0</v>
      </c>
      <c r="H30" s="3" cm="1">
        <f t="array" ref="H30">IF(29&gt;=21,SUMPRODUCT(B10:B30+C10:C30*160)/21,0)</f>
        <v>375.23809523809524</v>
      </c>
      <c r="I30" s="3">
        <f>IF(H30&gt;0,G30/H30,0)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Diary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Rianna Santra</cp:lastModifiedBy>
  <dcterms:created xsi:type="dcterms:W3CDTF">2026-03-22T04:05:24Z</dcterms:created>
  <dcterms:modified xsi:type="dcterms:W3CDTF">2026-03-22T04:26:57Z</dcterms:modified>
</cp:coreProperties>
</file>