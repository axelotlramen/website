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0340" yWindow="10320" windowWidth="24220" windowHeight="1032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00000000"/>
    </font>
    <font>
      <name val="Arial"/>
      <color rgb="000000FF"/>
    </font>
  </fonts>
  <fills count="4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5" fillId="0" borderId="2" pivotButton="0" quotePrefix="0" xfId="0"/>
    <xf numFmtId="2" fontId="4" fillId="0" borderId="2" pivotButton="0" quotePrefix="0" xfId="0"/>
    <xf numFmtId="14" fontId="0" fillId="0" borderId="2" pivotButton="0" quotePrefix="0" xfId="0"/>
    <xf numFmtId="0" fontId="0" fillId="0" borderId="3" pivotButton="0" quotePrefix="0" xfId="0"/>
    <xf numFmtId="0" fontId="7" fillId="0" borderId="3" pivotButton="0" quotePrefix="0" xfId="0"/>
    <xf numFmtId="2" fontId="6" fillId="0" borderId="3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1"/>
  <sheetViews>
    <sheetView tabSelected="1" workbookViewId="0">
      <pane ySplit="1" topLeftCell="A2" activePane="bottomLeft" state="frozen"/>
      <selection pane="bottomLeft" activeCell="H22" sqref="H22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Stellar Jades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46074</v>
      </c>
      <c r="B2" s="2" t="n">
        <v>150</v>
      </c>
      <c r="C2" s="2" t="n">
        <v>0</v>
      </c>
      <c r="D2" s="3" t="n">
        <v>271</v>
      </c>
      <c r="E2" s="3" t="n">
        <v>210</v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7" t="n">
        <v>46075</v>
      </c>
      <c r="B3" s="5" t="n">
        <v>150</v>
      </c>
      <c r="C3" s="5" t="n">
        <v>0</v>
      </c>
      <c r="D3" s="6">
        <f>D2+B3</f>
        <v/>
      </c>
      <c r="E3" s="6">
        <f>E2+C3</f>
        <v/>
      </c>
      <c r="F3" s="6">
        <f>D3/160+E3</f>
        <v/>
      </c>
      <c r="G3" s="6">
        <f>MAX((80-F3)*160,0)</f>
        <v/>
      </c>
      <c r="H3" s="6">
        <f t="array" ref="H3">IF(2&gt;=21,SUMPRODUCT(B2:B3+C2:C3*160)/21,0)</f>
        <v/>
      </c>
      <c r="I3" s="6">
        <f>IF(H3&gt;0,G3/H3,0)</f>
        <v/>
      </c>
    </row>
    <row r="4">
      <c r="A4" s="4" t="n">
        <v>46076</v>
      </c>
      <c r="B4" s="2" t="n">
        <v>150</v>
      </c>
      <c r="C4" s="2" t="n">
        <v>0</v>
      </c>
      <c r="D4" s="3">
        <f>D3+B4</f>
        <v/>
      </c>
      <c r="E4" s="3">
        <f>E3+C4</f>
        <v/>
      </c>
      <c r="F4" s="3">
        <f>D4/160+E4</f>
        <v/>
      </c>
      <c r="G4" s="3">
        <f>MAX((80-F4)*160,0)</f>
        <v/>
      </c>
      <c r="H4" s="3">
        <f t="array" ref="H4">IF(3&gt;=21,SUMPRODUCT(B2:B4+C2:C4*160)/21,0)</f>
        <v/>
      </c>
      <c r="I4" s="3">
        <f>IF(H4&gt;0,G4/H4,0)</f>
        <v/>
      </c>
    </row>
    <row r="5">
      <c r="A5" s="7" t="n">
        <v>46077</v>
      </c>
      <c r="B5" s="5" t="n">
        <v>150</v>
      </c>
      <c r="C5" s="5" t="n">
        <v>0</v>
      </c>
      <c r="D5" s="6">
        <f>D4+B5</f>
        <v/>
      </c>
      <c r="E5" s="6">
        <f>E4+C5</f>
        <v/>
      </c>
      <c r="F5" s="6">
        <f>D5/160+E5</f>
        <v/>
      </c>
      <c r="G5" s="6">
        <f>MAX((80-F5)*160,0)</f>
        <v/>
      </c>
      <c r="H5" s="6">
        <f t="array" ref="H5">IF(4&gt;=21,SUMPRODUCT(B2:B5+C2:C5*160)/21,0)</f>
        <v/>
      </c>
      <c r="I5" s="6">
        <f>IF(H5&gt;0,G5/H5,0)</f>
        <v/>
      </c>
    </row>
    <row r="6">
      <c r="A6" s="4" t="n">
        <v>46078</v>
      </c>
      <c r="B6" s="2" t="n">
        <v>150</v>
      </c>
      <c r="C6" s="2" t="n">
        <v>0</v>
      </c>
      <c r="D6" s="3">
        <f>D5+B6</f>
        <v/>
      </c>
      <c r="E6" s="3">
        <f>E5+C6</f>
        <v/>
      </c>
      <c r="F6" s="3">
        <f>D6/160+E6</f>
        <v/>
      </c>
      <c r="G6" s="3">
        <f>MAX((80-F6)*160,0)</f>
        <v/>
      </c>
      <c r="H6" s="3">
        <f t="array" ref="H6">IF(5&gt;=21,SUMPRODUCT(B2:B6+C2:C6*160)/21,0)</f>
        <v/>
      </c>
      <c r="I6" s="3">
        <f>IF(H6&gt;0,G6/H6,0)</f>
        <v/>
      </c>
    </row>
    <row r="7">
      <c r="A7" s="7" t="n">
        <v>46079</v>
      </c>
      <c r="B7" s="5" t="n">
        <v>150</v>
      </c>
      <c r="C7" s="5" t="n">
        <v>0</v>
      </c>
      <c r="D7" s="6">
        <f>D6+B7</f>
        <v/>
      </c>
      <c r="E7" s="6">
        <f>E6+C7</f>
        <v/>
      </c>
      <c r="F7" s="6">
        <f>D7/160+E7</f>
        <v/>
      </c>
      <c r="G7" s="6">
        <f>MAX((80-F7)*160,0)</f>
        <v/>
      </c>
      <c r="H7" s="6">
        <f t="array" ref="H7">IF(6&gt;=21,SUMPRODUCT(B2:B7+C2:C7*160)/21,0)</f>
        <v/>
      </c>
      <c r="I7" s="6">
        <f>IF(H7&gt;0,G7/H7,0)</f>
        <v/>
      </c>
    </row>
    <row r="8">
      <c r="A8" s="4" t="n">
        <v>46080</v>
      </c>
      <c r="B8" s="2" t="n">
        <v>150</v>
      </c>
      <c r="C8" s="2" t="n">
        <v>2</v>
      </c>
      <c r="D8" s="3">
        <f>D7+B8</f>
        <v/>
      </c>
      <c r="E8" s="3">
        <f>E7+C8</f>
        <v/>
      </c>
      <c r="F8" s="3">
        <f>D8/160+E8</f>
        <v/>
      </c>
      <c r="G8" s="3">
        <f>MAX((80-F8)*160,0)</f>
        <v/>
      </c>
      <c r="H8" s="3">
        <f t="array" ref="H8">IF(7&gt;=21,SUMPRODUCT(B2:B8+C2:C8*160)/21,0)</f>
        <v/>
      </c>
      <c r="I8" s="3">
        <f>IF(H8&gt;0,G8/H8,0)</f>
        <v/>
      </c>
    </row>
    <row r="9">
      <c r="A9" s="7" t="n">
        <v>46081</v>
      </c>
      <c r="B9" s="5" t="n">
        <v>150</v>
      </c>
      <c r="C9" s="5" t="n">
        <v>0</v>
      </c>
      <c r="D9" s="6">
        <f>D8+B9</f>
        <v/>
      </c>
      <c r="E9" s="6">
        <f>E8+C9</f>
        <v/>
      </c>
      <c r="F9" s="6">
        <f>D9/160+E9</f>
        <v/>
      </c>
      <c r="G9" s="6">
        <f>MAX((80-F9)*160,0)</f>
        <v/>
      </c>
      <c r="H9" s="6">
        <f t="array" ref="H9">IF(8&gt;=21,SUMPRODUCT(B2:B9+C2:C9*160)/21,0)</f>
        <v/>
      </c>
      <c r="I9" s="6">
        <f>IF(H9&gt;0,G9/H9,0)</f>
        <v/>
      </c>
    </row>
    <row r="10">
      <c r="A10" s="4" t="n">
        <v>46082</v>
      </c>
      <c r="B10" s="2" t="n">
        <v>150</v>
      </c>
      <c r="C10" s="2" t="n">
        <v>10</v>
      </c>
      <c r="D10" s="3">
        <f>D9+B10</f>
        <v/>
      </c>
      <c r="E10" s="3">
        <f>E9+C10</f>
        <v/>
      </c>
      <c r="F10" s="3">
        <f>D10/160+E10</f>
        <v/>
      </c>
      <c r="G10" s="3">
        <f>MAX((80-F10)*160,0)</f>
        <v/>
      </c>
      <c r="H10" s="3">
        <f t="array" ref="H10">IF(9&gt;=21,SUMPRODUCT(B2:B10+C2:C10*160)/21,0)</f>
        <v/>
      </c>
      <c r="I10" s="3">
        <f>IF(H10&gt;0,G10/H10,0)</f>
        <v/>
      </c>
    </row>
    <row r="11">
      <c r="A11" s="7" t="n">
        <v>46083</v>
      </c>
      <c r="B11" s="5" t="n">
        <v>950</v>
      </c>
      <c r="C11" s="5" t="n">
        <v>0</v>
      </c>
      <c r="D11" s="6">
        <f>D10+B11</f>
        <v/>
      </c>
      <c r="E11" s="6">
        <f>E10+C11</f>
        <v/>
      </c>
      <c r="F11" s="6">
        <f>D11/160+E11</f>
        <v/>
      </c>
      <c r="G11" s="6">
        <f>MAX((80-F11)*160,0)</f>
        <v/>
      </c>
      <c r="H11" s="6">
        <f t="array" ref="H11">IF(10&gt;=21,SUMPRODUCT(B2:B11+C2:C11*160)/21,0)</f>
        <v/>
      </c>
      <c r="I11" s="6">
        <f>IF(H11&gt;0,G11/H11,0)</f>
        <v/>
      </c>
    </row>
    <row r="12">
      <c r="A12" s="4" t="n">
        <v>46084</v>
      </c>
      <c r="B12" s="2" t="n">
        <v>200</v>
      </c>
      <c r="C12" s="2" t="n">
        <v>0</v>
      </c>
      <c r="D12" s="3">
        <f>D11+B12</f>
        <v/>
      </c>
      <c r="E12" s="3">
        <f>E11+C12</f>
        <v/>
      </c>
      <c r="F12" s="3">
        <f>D12/160+E12</f>
        <v/>
      </c>
      <c r="G12" s="3">
        <f>MAX((80-F12)*160,0)</f>
        <v/>
      </c>
      <c r="H12" s="3">
        <f t="array" ref="H12">IF(11&gt;=21,SUMPRODUCT(B2:B12+C2:C12*160)/21,0)</f>
        <v/>
      </c>
      <c r="I12" s="3">
        <f>IF(H12&gt;0,G12/H12,0)</f>
        <v/>
      </c>
    </row>
    <row r="13">
      <c r="A13" s="7" t="n">
        <v>46085</v>
      </c>
      <c r="B13" s="5" t="n">
        <v>230</v>
      </c>
      <c r="C13" s="5" t="n">
        <v>0</v>
      </c>
      <c r="D13" s="6">
        <f>D12+B13</f>
        <v/>
      </c>
      <c r="E13" s="6">
        <f>E12+C13</f>
        <v/>
      </c>
      <c r="F13" s="6">
        <f>D13/160+E13</f>
        <v/>
      </c>
      <c r="G13" s="6">
        <f>MAX((80-F13)*160,0)</f>
        <v/>
      </c>
      <c r="H13" s="6">
        <f t="array" ref="H13">IF(12&gt;=21,SUMPRODUCT(B2:B13+C2:C13*160)/21,0)</f>
        <v/>
      </c>
      <c r="I13" s="6">
        <f>IF(H13&gt;0,G13/H13,0)</f>
        <v/>
      </c>
    </row>
    <row r="14">
      <c r="A14" s="4" t="n">
        <v>46086</v>
      </c>
      <c r="B14" s="2" t="n">
        <v>170</v>
      </c>
      <c r="C14" s="2" t="n">
        <v>0</v>
      </c>
      <c r="D14" s="3">
        <f>D13+B14</f>
        <v/>
      </c>
      <c r="E14" s="3">
        <f>E13+C14</f>
        <v/>
      </c>
      <c r="F14" s="3">
        <f>D14/160+E14</f>
        <v/>
      </c>
      <c r="G14" s="3">
        <f>MAX((80-F14)*160,0)</f>
        <v/>
      </c>
      <c r="H14" s="3">
        <f t="array" ref="H14">IF(13&gt;=21,SUMPRODUCT(B2:B14+C2:C14*160)/21,0)</f>
        <v/>
      </c>
      <c r="I14" s="3">
        <f>IF(H14&gt;0,G14/H14,0)</f>
        <v/>
      </c>
    </row>
    <row r="15">
      <c r="A15" s="7" t="n">
        <v>46087</v>
      </c>
      <c r="B15" s="5" t="n">
        <v>150</v>
      </c>
      <c r="C15" s="5" t="n">
        <v>0</v>
      </c>
      <c r="D15" s="6">
        <f>D14+B15</f>
        <v/>
      </c>
      <c r="E15" s="6">
        <f>E14+C15</f>
        <v/>
      </c>
      <c r="F15" s="6">
        <f>D15/160+E15</f>
        <v/>
      </c>
      <c r="G15" s="6">
        <f>MAX((80-F15)*160,0)</f>
        <v/>
      </c>
      <c r="H15" s="6">
        <f t="array" ref="H15">IF(14&gt;=21,SUMPRODUCT(B2:B15+C2:C15*160)/21,0)</f>
        <v/>
      </c>
      <c r="I15" s="6">
        <f>IF(H15&gt;0,G15/H15,0)</f>
        <v/>
      </c>
    </row>
    <row r="16">
      <c r="A16" s="4" t="n">
        <v>46088</v>
      </c>
      <c r="B16" s="2" t="n">
        <v>150</v>
      </c>
      <c r="C16" s="2" t="n">
        <v>0</v>
      </c>
      <c r="D16" s="3">
        <f>D15+B16</f>
        <v/>
      </c>
      <c r="E16" s="3">
        <f>E15+C16</f>
        <v/>
      </c>
      <c r="F16" s="3">
        <f>D16/160+E16</f>
        <v/>
      </c>
      <c r="G16" s="3">
        <f>MAX((80-F16)*160,0)</f>
        <v/>
      </c>
      <c r="H16" s="3">
        <f t="array" ref="H16">IF(15&gt;=21,SUMPRODUCT(B2:B16+C2:C16*160)/21,0)</f>
        <v/>
      </c>
      <c r="I16" s="3">
        <f>IF(H16&gt;0,G16/H16,0)</f>
        <v/>
      </c>
    </row>
    <row r="17">
      <c r="A17" s="7" t="n">
        <v>46089</v>
      </c>
      <c r="B17" s="5" t="n">
        <v>495</v>
      </c>
      <c r="C17" s="5" t="n">
        <v>0</v>
      </c>
      <c r="D17" s="6">
        <f>D16+B17</f>
        <v/>
      </c>
      <c r="E17" s="6">
        <f>E16+C17</f>
        <v/>
      </c>
      <c r="F17" s="6">
        <f>D17/160+E17</f>
        <v/>
      </c>
      <c r="G17" s="6">
        <f>MAX((80-F17)*160,0)</f>
        <v/>
      </c>
      <c r="H17" s="6">
        <f t="array" ref="H17">IF(16&gt;=21,SUMPRODUCT(B2:B17+C2:C17*160)/21,0)</f>
        <v/>
      </c>
      <c r="I17" s="6">
        <f>IF(H17&gt;0,G17/H17,0)</f>
        <v/>
      </c>
    </row>
    <row r="18">
      <c r="A18" s="4" t="n">
        <v>46090</v>
      </c>
      <c r="B18" s="2" t="n">
        <v>375</v>
      </c>
      <c r="C18" s="2" t="n">
        <v>0</v>
      </c>
      <c r="D18" s="3">
        <f>D17+B18</f>
        <v/>
      </c>
      <c r="E18" s="3">
        <f>E17+C18</f>
        <v/>
      </c>
      <c r="F18" s="3">
        <f>D18/160+E18</f>
        <v/>
      </c>
      <c r="G18" s="3">
        <f>MAX((80-F18)*160,0)</f>
        <v/>
      </c>
      <c r="H18" s="3">
        <f t="array" ref="H18">IF(17&gt;=21,SUMPRODUCT(B2:B18+C2:C18*160)/21,0)</f>
        <v/>
      </c>
      <c r="I18" s="3">
        <f>IF(H18&gt;0,G18/H18,0)</f>
        <v/>
      </c>
    </row>
    <row r="19">
      <c r="A19" s="7" t="n">
        <v>46091</v>
      </c>
      <c r="B19" s="5" t="n">
        <v>170</v>
      </c>
      <c r="C19" s="5" t="n">
        <v>0</v>
      </c>
      <c r="D19" s="6">
        <f>D18+B19</f>
        <v/>
      </c>
      <c r="E19" s="6">
        <f>E18+C19</f>
        <v/>
      </c>
      <c r="F19" s="6">
        <f>D19/160+E19</f>
        <v/>
      </c>
      <c r="G19" s="6">
        <f>MAX((80-F19)*160,0)</f>
        <v/>
      </c>
      <c r="H19" s="6">
        <f t="array" ref="H19">IF(18&gt;=21,SUMPRODUCT(B2:B19+C2:C19*160)/21,0)</f>
        <v/>
      </c>
      <c r="I19" s="6">
        <f>IF(H19&gt;0,G19/H19,0)</f>
        <v/>
      </c>
    </row>
    <row r="20">
      <c r="A20" s="4" t="n">
        <v>46092</v>
      </c>
      <c r="B20" s="2" t="n">
        <v>150</v>
      </c>
      <c r="C20" s="2" t="n">
        <v>0</v>
      </c>
      <c r="D20" s="3">
        <f>D19+B20</f>
        <v/>
      </c>
      <c r="E20" s="3">
        <f>E19+C20</f>
        <v/>
      </c>
      <c r="F20" s="3">
        <f>D20/160+E20</f>
        <v/>
      </c>
      <c r="G20" s="3">
        <f>MAX((80-F20)*160,0)</f>
        <v/>
      </c>
      <c r="H20" s="3">
        <f t="array" ref="H20">IF(19&gt;=21,SUMPRODUCT(B2:B20+C2:C20*160)/21,0)</f>
        <v/>
      </c>
      <c r="I20" s="3">
        <f>IF(H20&gt;0,G20/H20,0)</f>
        <v/>
      </c>
    </row>
    <row r="21">
      <c r="A21" s="7" t="n">
        <v>46093</v>
      </c>
      <c r="B21" s="5" t="n">
        <v>150</v>
      </c>
      <c r="C21" s="5" t="n">
        <v>0</v>
      </c>
      <c r="D21" s="6">
        <f>D20+B21</f>
        <v/>
      </c>
      <c r="E21" s="6">
        <f>E20+C21</f>
        <v/>
      </c>
      <c r="F21" s="6">
        <f>D21/160+E21</f>
        <v/>
      </c>
      <c r="G21" s="6">
        <f>MAX((80-F21)*160,0)</f>
        <v/>
      </c>
      <c r="H21" s="6">
        <f t="array" ref="H21">IF(20&gt;=21,SUMPRODUCT(B2:B21+C2:C21*160)/21,0)</f>
        <v/>
      </c>
      <c r="I21" s="6">
        <f>IF(H21&gt;0,G21/H21,0)</f>
        <v/>
      </c>
    </row>
    <row r="22">
      <c r="A22" s="4" t="n">
        <v>46094</v>
      </c>
      <c r="B22" s="2" t="n">
        <v>470</v>
      </c>
      <c r="C22" s="2" t="n">
        <v>0</v>
      </c>
      <c r="D22" s="3">
        <f>D21+B22</f>
        <v/>
      </c>
      <c r="E22" s="3">
        <f>E21+C22</f>
        <v/>
      </c>
      <c r="F22" s="3">
        <f>D22/160+E22</f>
        <v/>
      </c>
      <c r="G22" s="3">
        <f>MAX((80-F22)*160,0)</f>
        <v/>
      </c>
      <c r="H22" s="3">
        <f t="array" ref="H22">IF(21&gt;=21,SUMPRODUCT(B2:B22+C2:C22*160)/21,0)</f>
        <v/>
      </c>
      <c r="I22" s="3">
        <f>IF(H22&gt;0,G22/H22,0)</f>
        <v/>
      </c>
    </row>
    <row r="23">
      <c r="A23" s="7" t="n">
        <v>46095</v>
      </c>
      <c r="B23" s="5" t="n">
        <v>160</v>
      </c>
      <c r="C23" s="5" t="n">
        <v>0</v>
      </c>
      <c r="D23" s="6" t="n">
        <v>56</v>
      </c>
      <c r="E23" s="6" t="n">
        <v>200</v>
      </c>
      <c r="F23" s="6">
        <f>D23/160+E23</f>
        <v/>
      </c>
      <c r="G23" s="6">
        <f>MAX((80-F23)*160,0)</f>
        <v/>
      </c>
      <c r="H23" s="6">
        <f t="array" ref="H23">IF(22&gt;=21,SUMPRODUCT(B3:B23+C3:C23*160)/21,0)</f>
        <v/>
      </c>
      <c r="I23" s="6">
        <f>IF(H23&gt;0,G23/H23,0)</f>
        <v/>
      </c>
    </row>
    <row r="24">
      <c r="A24" s="4" t="n">
        <v>46096</v>
      </c>
      <c r="B24" s="2" t="n">
        <v>155</v>
      </c>
      <c r="C24" s="2" t="n">
        <v>0</v>
      </c>
      <c r="D24" s="3">
        <f>D23+B24</f>
        <v/>
      </c>
      <c r="E24" s="3">
        <f>E23+C24</f>
        <v/>
      </c>
      <c r="F24" s="3">
        <f>D24/160+E24</f>
        <v/>
      </c>
      <c r="G24" s="3">
        <f>MAX((80-F24)*160,0)</f>
        <v/>
      </c>
      <c r="H24" s="3">
        <f t="array" ref="H24">IF(23&gt;=21,SUMPRODUCT(B4:B24+C4:C24*160)/21,0)</f>
        <v/>
      </c>
      <c r="I24" s="3">
        <f>IF(H24&gt;0,G24/H24,0)</f>
        <v/>
      </c>
    </row>
    <row r="25">
      <c r="A25" s="7" t="n">
        <v>46097</v>
      </c>
      <c r="B25" s="5" t="n">
        <v>1320</v>
      </c>
      <c r="C25" s="5" t="n">
        <v>0</v>
      </c>
      <c r="D25" s="6">
        <f>D24+B25</f>
        <v/>
      </c>
      <c r="E25" s="6">
        <f>E24+C25</f>
        <v/>
      </c>
      <c r="F25" s="6">
        <f>D25/160+E25</f>
        <v/>
      </c>
      <c r="G25" s="6">
        <f>MAX((80-F25)*160,0)</f>
        <v/>
      </c>
      <c r="H25" s="6">
        <f t="array" ref="H25">IF(24&gt;=21,SUMPRODUCT(B5:B25+C5:C25*160)/21,0)</f>
        <v/>
      </c>
      <c r="I25" s="6">
        <f>IF(H25&gt;0,G25/H25,0)</f>
        <v/>
      </c>
    </row>
    <row r="26">
      <c r="A26" s="4" t="n">
        <v>46098</v>
      </c>
      <c r="B26" s="2" t="n">
        <v>215</v>
      </c>
      <c r="C26" s="2" t="n">
        <v>0</v>
      </c>
      <c r="D26" s="3">
        <f>D25+B26</f>
        <v/>
      </c>
      <c r="E26" s="3">
        <f>E25+C26</f>
        <v/>
      </c>
      <c r="F26" s="3">
        <f>D26/160+E26</f>
        <v/>
      </c>
      <c r="G26" s="3">
        <f>MAX((80-F26)*160,0)</f>
        <v/>
      </c>
      <c r="H26" s="3">
        <f t="array" ref="H26">IF(25&gt;=21,SUMPRODUCT(B6:B26+C6:C26*160)/21,0)</f>
        <v/>
      </c>
      <c r="I26" s="3">
        <f>IF(H26&gt;0,G26/H26,0)</f>
        <v/>
      </c>
    </row>
    <row r="27">
      <c r="A27" s="7" t="n">
        <v>46099</v>
      </c>
      <c r="B27" s="5" t="n">
        <v>150</v>
      </c>
      <c r="C27" s="5" t="n">
        <v>0</v>
      </c>
      <c r="D27" s="6">
        <f>D26+B27</f>
        <v/>
      </c>
      <c r="E27" s="6">
        <f>E26+C27</f>
        <v/>
      </c>
      <c r="F27" s="6">
        <f>D27/160+E27</f>
        <v/>
      </c>
      <c r="G27" s="6">
        <f>MAX((80-F27)*160,0)</f>
        <v/>
      </c>
      <c r="H27" s="6">
        <f t="array" ref="H27">IF(26&gt;=21,SUMPRODUCT(B7:B27+C7:C27*160)/21,0)</f>
        <v/>
      </c>
      <c r="I27" s="6">
        <f>IF(H27&gt;0,G27/H27,0)</f>
        <v/>
      </c>
    </row>
    <row r="28">
      <c r="A28" s="4" t="n">
        <v>46100</v>
      </c>
      <c r="B28" s="2" t="n">
        <v>170</v>
      </c>
      <c r="C28" s="2" t="n">
        <v>0</v>
      </c>
      <c r="D28" s="3">
        <f>D27+B28</f>
        <v/>
      </c>
      <c r="E28" s="3">
        <f>E27+C28</f>
        <v/>
      </c>
      <c r="F28" s="3">
        <f>D28/160+E28</f>
        <v/>
      </c>
      <c r="G28" s="3">
        <f>MAX((80-F28)*160,0)</f>
        <v/>
      </c>
      <c r="H28" s="3">
        <f t="array" ref="H28">IF(27&gt;=21,SUMPRODUCT(B8:B28+C8:C28*160)/21,0)</f>
        <v/>
      </c>
      <c r="I28" s="3">
        <f>IF(H28&gt;0,G28/H28,0)</f>
        <v/>
      </c>
    </row>
    <row r="29">
      <c r="A29" s="7" t="n">
        <v>46101</v>
      </c>
      <c r="B29" s="5" t="n">
        <v>150</v>
      </c>
      <c r="C29" s="5" t="n">
        <v>0</v>
      </c>
      <c r="D29" s="6">
        <f>D28+B29</f>
        <v/>
      </c>
      <c r="E29" s="6">
        <f>E28+C29</f>
        <v/>
      </c>
      <c r="F29" s="6">
        <f>D29/160+E29</f>
        <v/>
      </c>
      <c r="G29" s="6">
        <f>MAX((80-F29)*160,0)</f>
        <v/>
      </c>
      <c r="H29" s="6">
        <f t="array" ref="H29">IF(28&gt;=21,SUMPRODUCT(B9:B29+C9:C29*160)/21,0)</f>
        <v/>
      </c>
      <c r="I29" s="6">
        <f>IF(H29&gt;0,G29/H29,0)</f>
        <v/>
      </c>
    </row>
    <row r="30">
      <c r="A30" s="4" t="n">
        <v>46102</v>
      </c>
      <c r="B30" s="2" t="n">
        <v>150</v>
      </c>
      <c r="C30" s="2" t="n">
        <v>0</v>
      </c>
      <c r="D30" s="3">
        <f>D29+B30</f>
        <v/>
      </c>
      <c r="E30" s="3">
        <f>E29+C30</f>
        <v/>
      </c>
      <c r="F30" s="3">
        <f>D30/160+E30</f>
        <v/>
      </c>
      <c r="G30" s="3">
        <f>MAX((80-F30)*160,0)</f>
        <v/>
      </c>
      <c r="H30" s="3">
        <f t="array" ref="H30">IF(29&gt;=21,SUMPRODUCT(B10:B30+C10:C30*160)/21,0)</f>
        <v/>
      </c>
      <c r="I30" s="3">
        <f>IF(H30&gt;0,G30/H30,0)</f>
        <v/>
      </c>
    </row>
    <row r="31">
      <c r="A31" s="8" t="inlineStr">
        <is>
          <t>2026-03-22</t>
        </is>
      </c>
      <c r="B31" s="9" t="n">
        <v>150</v>
      </c>
      <c r="C31" s="9" t="n">
        <v>0</v>
      </c>
      <c r="D31" s="10">
        <f>D30+B31</f>
        <v/>
      </c>
      <c r="E31" s="10">
        <f>E30+C31</f>
        <v/>
      </c>
      <c r="F31" s="10">
        <f>D31/160+E31</f>
        <v/>
      </c>
      <c r="G31" s="10">
        <f>MAX((80-F31)*160,0)</f>
        <v/>
      </c>
      <c r="H31" s="10">
        <f>IF(21&gt;=21,SUMPRODUCT(B11:B31+C11:C31*160)/21,0)</f>
        <v/>
      </c>
      <c r="I31" s="10">
        <f>IF(H31&gt;0,G31/H31,0)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2026-03-22T04:05:24Z</dcterms:created>
  <dcterms:modified xsi:type="dcterms:W3CDTF">2026-03-22T17:48:15Z</dcterms:modified>
  <cp:lastModifiedBy>Rianna Santra</cp:lastModifiedBy>
</cp:coreProperties>
</file>