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rsantra/Documents/discord_things/website/data/"/>
    </mc:Choice>
  </mc:AlternateContent>
  <xr:revisionPtr revIDLastSave="0" documentId="13_ncr:1_{92E601AC-1E51-AA47-B585-90B147EA2452}" xr6:coauthVersionLast="47" xr6:coauthVersionMax="47" xr10:uidLastSave="{00000000-0000-0000-0000-000000000000}"/>
  <bookViews>
    <workbookView xWindow="10340" yWindow="10320" windowWidth="24220" windowHeight="10320" xr2:uid="{00000000-000D-0000-FFFF-FFFF00000000}"/>
  </bookViews>
  <sheets>
    <sheet name="Diary Lo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I2" i="1" s="1"/>
  <c r="E2" i="1"/>
  <c r="D2" i="1"/>
  <c r="F2" i="1" s="1"/>
  <c r="G2" i="1" s="1"/>
</calcChain>
</file>

<file path=xl/sharedStrings.xml><?xml version="1.0" encoding="utf-8"?>
<sst xmlns="http://schemas.openxmlformats.org/spreadsheetml/2006/main" count="9" uniqueCount="9">
  <si>
    <t>Date</t>
  </si>
  <si>
    <t>Net Currency Gain</t>
  </si>
  <si>
    <t>Pulls Net Gain</t>
  </si>
  <si>
    <t>Stellar Jades</t>
  </si>
  <si>
    <t>Pulls</t>
  </si>
  <si>
    <t>Total Pulls</t>
  </si>
  <si>
    <t>Currency Needed for 5 Star</t>
  </si>
  <si>
    <t>3-Week Avg Gain</t>
  </si>
  <si>
    <t>Estimated Days Til 5 Star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</si>
</sst>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color rgb="FF000000"/>
      <name val="Arial"/>
    </font>
    <font>
      <sz val="11"/>
      <color rgb="FF0000FF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/>
    </xf>
    <xf numFmtId="0" fontId="3" fillId="3" borderId="1" xfId="0" applyFont="1" applyFill="1" applyBorder="1"/>
    <xf numFmtId="2" fontId="2" fillId="3" borderId="1" xfId="0" applyNumberFormat="1" applyFont="1" applyFill="1" applyBorder="1"/>
    <xf numFmtId="14" fontId="0" fillId="3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tabSelected="1" workbookViewId="0">
      <pane ySplit="1" topLeftCell="A2" activePane="bottomLeft" state="frozen"/>
      <selection pane="bottomLeft" activeCell="B4" sqref="B4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16" customWidth="1"/>
    <col min="4" max="4" width="18" customWidth="1"/>
    <col min="5" max="5" width="8" customWidth="1"/>
    <col min="6" max="6" width="14" customWidth="1"/>
    <col min="7" max="7" width="28" customWidth="1"/>
    <col min="8" max="8" width="18" customWidth="1"/>
    <col min="9" max="9" width="26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">
      <c r="A2" s="4">
        <v>46102</v>
      </c>
      <c r="B2" s="2">
        <v>150</v>
      </c>
      <c r="C2" s="2">
        <v>0</v>
      </c>
      <c r="D2" s="3">
        <f>B2</f>
        <v>150</v>
      </c>
      <c r="E2" s="3">
        <f>C2</f>
        <v>0</v>
      </c>
      <c r="F2" s="3">
        <f>D2/160+E2</f>
        <v>0.9375</v>
      </c>
      <c r="G2" s="3">
        <f>MAX((80-F2)*160,0)</f>
        <v>12650</v>
      </c>
      <c r="H2" s="3">
        <f>IF(1&gt;=21,SUMPRODUCT(B2:B2+C2:C2*160)/21,0)</f>
        <v>0</v>
      </c>
      <c r="I2" s="3">
        <f>IF(H2&gt;0,G2/H2,0)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Diary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Rianna Santra</cp:lastModifiedBy>
  <dcterms:created xsi:type="dcterms:W3CDTF">2026-03-22T04:05:24Z</dcterms:created>
  <dcterms:modified xsi:type="dcterms:W3CDTF">2026-03-22T04:07:30Z</dcterms:modified>
</cp:coreProperties>
</file>