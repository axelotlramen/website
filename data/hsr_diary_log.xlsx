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60" yWindow="5940" windowWidth="24220" windowHeight="10320" tabRatio="600" firstSheet="0" activeTab="0" autoFilterDateGrouping="1"/>
  </bookViews>
  <sheets>
    <sheet name="Diary 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color rgb="FF000000"/>
      <sz val="11"/>
    </font>
    <font>
      <name val="Arial"/>
      <family val="2"/>
      <color rgb="FF0000FF"/>
      <sz val="11"/>
    </font>
    <font>
      <name val="Arial"/>
      <family val="2"/>
      <color rgb="FF000000"/>
      <sz val="11"/>
    </font>
    <font>
      <name val="Arial"/>
      <family val="2"/>
      <color rgb="FF0000FF"/>
      <sz val="11"/>
    </font>
    <font>
      <name val="Arial"/>
      <color rgb="FF000000"/>
      <sz val="11"/>
    </font>
    <font>
      <name val="Arial"/>
      <color rgb="FF0000FF"/>
      <sz val="11"/>
    </font>
    <font>
      <name val="Arial"/>
      <color rgb="FF000000"/>
      <sz val="11"/>
    </font>
    <font>
      <name val="Arial"/>
      <color rgb="FF0000FF"/>
      <sz val="11"/>
    </font>
    <font>
      <name val="Arial"/>
      <color rgb="FF000000"/>
      <sz val="11"/>
    </font>
    <font>
      <name val="Arial"/>
      <color rgb="FF0000FF"/>
      <sz val="11"/>
    </font>
    <font>
      <name val="Arial"/>
      <color rgb="00000000"/>
    </font>
    <font>
      <name val="Arial"/>
      <color rgb="000000FF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D6E4F0"/>
      </patternFill>
    </fill>
    <fill>
      <patternFill patternType="solid">
        <fgColor rgb="FFD6E4F0"/>
      </patternFill>
    </fill>
    <fill>
      <patternFill patternType="solid">
        <fgColor rgb="FFD6E4F0"/>
      </patternFill>
    </fill>
    <fill>
      <patternFill patternType="solid">
        <fgColor rgb="00D6E4F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3" fillId="3" borderId="1" pivotButton="0" quotePrefix="0" xfId="0"/>
    <xf numFmtId="2" fontId="2" fillId="3" borderId="1" pivotButton="0" quotePrefix="0" xfId="0"/>
    <xf numFmtId="14" fontId="0" fillId="3" borderId="1" pivotButton="0" quotePrefix="0" xfId="0"/>
    <xf numFmtId="0" fontId="5" fillId="0" borderId="2" pivotButton="0" quotePrefix="0" xfId="0"/>
    <xf numFmtId="2" fontId="4" fillId="0" borderId="2" pivotButton="0" quotePrefix="0" xfId="0"/>
    <xf numFmtId="14" fontId="0" fillId="0" borderId="2" pivotButton="0" quotePrefix="0" xfId="0"/>
    <xf numFmtId="0" fontId="0" fillId="0" borderId="3" pivotButton="0" quotePrefix="0" xfId="0"/>
    <xf numFmtId="0" fontId="7" fillId="0" borderId="3" pivotButton="0" quotePrefix="0" xfId="0"/>
    <xf numFmtId="2" fontId="6" fillId="0" borderId="3" pivotButton="0" quotePrefix="0" xfId="0"/>
    <xf numFmtId="0" fontId="0" fillId="4" borderId="3" pivotButton="0" quotePrefix="0" xfId="0"/>
    <xf numFmtId="0" fontId="7" fillId="4" borderId="3" pivotButton="0" quotePrefix="0" xfId="0"/>
    <xf numFmtId="2" fontId="6" fillId="4" borderId="3" pivotButton="0" quotePrefix="0" xfId="0"/>
    <xf numFmtId="0" fontId="0" fillId="0" borderId="4" pivotButton="0" quotePrefix="0" xfId="0"/>
    <xf numFmtId="0" fontId="9" fillId="0" borderId="4" pivotButton="0" quotePrefix="0" xfId="0"/>
    <xf numFmtId="2" fontId="8" fillId="0" borderId="4" pivotButton="0" quotePrefix="0" xfId="0"/>
    <xf numFmtId="0" fontId="0" fillId="5" borderId="4" pivotButton="0" quotePrefix="0" xfId="0"/>
    <xf numFmtId="0" fontId="9" fillId="5" borderId="4" pivotButton="0" quotePrefix="0" xfId="0"/>
    <xf numFmtId="2" fontId="8" fillId="5" borderId="4" pivotButton="0" quotePrefix="0" xfId="0"/>
    <xf numFmtId="0" fontId="0" fillId="0" borderId="5" pivotButton="0" quotePrefix="0" xfId="0"/>
    <xf numFmtId="0" fontId="11" fillId="0" borderId="5" pivotButton="0" quotePrefix="0" xfId="0"/>
    <xf numFmtId="2" fontId="10" fillId="0" borderId="5" pivotButton="0" quotePrefix="0" xfId="0"/>
    <xf numFmtId="0" fontId="0" fillId="6" borderId="5" pivotButton="0" quotePrefix="0" xfId="0"/>
    <xf numFmtId="0" fontId="11" fillId="6" borderId="5" pivotButton="0" quotePrefix="0" xfId="0"/>
    <xf numFmtId="2" fontId="10" fillId="6" borderId="5" pivotButton="0" quotePrefix="0" xfId="0"/>
    <xf numFmtId="0" fontId="0" fillId="0" borderId="6" pivotButton="0" quotePrefix="0" xfId="0"/>
    <xf numFmtId="0" fontId="13" fillId="0" borderId="6" pivotButton="0" quotePrefix="0" xfId="0"/>
    <xf numFmtId="2" fontId="12" fillId="0" borderId="6" pivotButton="0" quotePrefix="0" xfId="0"/>
    <xf numFmtId="0" fontId="0" fillId="7" borderId="6" pivotButton="0" quotePrefix="0" xfId="0"/>
    <xf numFmtId="0" fontId="13" fillId="7" borderId="6" pivotButton="0" quotePrefix="0" xfId="0"/>
    <xf numFmtId="2" fontId="12" fillId="7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tabSelected="1" workbookViewId="0">
      <pane ySplit="1" topLeftCell="A41" activePane="bottomLeft" state="frozen"/>
      <selection pane="bottomLeft" activeCell="E57" sqref="E57"/>
    </sheetView>
  </sheetViews>
  <sheetFormatPr baseColWidth="10" defaultColWidth="8.83203125" defaultRowHeight="15"/>
  <cols>
    <col width="12" customWidth="1" min="1" max="1"/>
    <col width="20" customWidth="1" min="2" max="2"/>
    <col width="16" customWidth="1" min="3" max="3"/>
    <col width="18" customWidth="1" min="4" max="4"/>
    <col width="8" customWidth="1" min="5" max="5"/>
    <col width="14" customWidth="1" min="6" max="6"/>
    <col width="28" customWidth="1" min="7" max="7"/>
    <col width="18" customWidth="1" min="8" max="8"/>
    <col width="26" customWidth="1" min="9" max="9"/>
  </cols>
  <sheetData>
    <row r="1">
      <c r="A1" s="1" t="inlineStr">
        <is>
          <t>Date</t>
        </is>
      </c>
      <c r="B1" s="1" t="inlineStr">
        <is>
          <t>Net Currency Gain</t>
        </is>
      </c>
      <c r="C1" s="1" t="inlineStr">
        <is>
          <t>Pulls Net Gain</t>
        </is>
      </c>
      <c r="D1" s="1" t="inlineStr">
        <is>
          <t>Stellar Jades</t>
        </is>
      </c>
      <c r="E1" s="1" t="inlineStr">
        <is>
          <t>Pulls</t>
        </is>
      </c>
      <c r="F1" s="1" t="inlineStr">
        <is>
          <t>Total Pulls</t>
        </is>
      </c>
      <c r="G1" s="1" t="inlineStr">
        <is>
          <t>Currency Needed for 5 Star</t>
        </is>
      </c>
      <c r="H1" s="1" t="inlineStr">
        <is>
          <t>3-Week Avg Gain</t>
        </is>
      </c>
      <c r="I1" s="1" t="inlineStr">
        <is>
          <t>Estimated Days Til 5 Star</t>
        </is>
      </c>
    </row>
    <row r="2">
      <c r="A2" s="4" t="n">
        <v>46074</v>
      </c>
      <c r="B2" s="2" t="n">
        <v>150</v>
      </c>
      <c r="C2" s="2" t="n">
        <v>0</v>
      </c>
      <c r="D2" s="3" t="n">
        <v>271</v>
      </c>
      <c r="E2" s="3" t="n">
        <v>210</v>
      </c>
      <c r="F2" s="3">
        <f>D2/160+E2</f>
        <v/>
      </c>
      <c r="G2" s="3">
        <f>MAX((80-F2)*160,0)</f>
        <v/>
      </c>
      <c r="H2" s="3">
        <f>IF(1&gt;=21,SUMPRODUCT(B2:B2+C2:C2*160)/21,0)</f>
        <v/>
      </c>
      <c r="I2" s="3">
        <f>IF(H2&gt;0,G2/H2,0)</f>
        <v/>
      </c>
    </row>
    <row r="3">
      <c r="A3" s="7" t="n">
        <v>46075</v>
      </c>
      <c r="B3" s="5" t="n">
        <v>150</v>
      </c>
      <c r="C3" s="5" t="n">
        <v>0</v>
      </c>
      <c r="D3" s="6">
        <f>D2+B3</f>
        <v/>
      </c>
      <c r="E3" s="6">
        <f>E2+C3</f>
        <v/>
      </c>
      <c r="F3" s="6">
        <f>D3/160+E3</f>
        <v/>
      </c>
      <c r="G3" s="6">
        <f>MAX((80-F3)*160,0)</f>
        <v/>
      </c>
      <c r="H3" s="6">
        <f t="array" ref="H3">IF(2&gt;=21,SUMPRODUCT(B2:B3+C2:C3*160)/21,0)</f>
        <v/>
      </c>
      <c r="I3" s="6">
        <f>IF(H3&gt;0,G3/H3,0)</f>
        <v/>
      </c>
    </row>
    <row r="4">
      <c r="A4" s="4" t="n">
        <v>46076</v>
      </c>
      <c r="B4" s="2" t="n">
        <v>150</v>
      </c>
      <c r="C4" s="2" t="n">
        <v>0</v>
      </c>
      <c r="D4" s="3">
        <f>D3+B4</f>
        <v/>
      </c>
      <c r="E4" s="3">
        <f>E3+C4</f>
        <v/>
      </c>
      <c r="F4" s="3">
        <f>D4/160+E4</f>
        <v/>
      </c>
      <c r="G4" s="3">
        <f>MAX((80-F4)*160,0)</f>
        <v/>
      </c>
      <c r="H4" s="3">
        <f t="array" ref="H4">IF(3&gt;=21,SUMPRODUCT(B2:B4+C2:C4*160)/21,0)</f>
        <v/>
      </c>
      <c r="I4" s="3">
        <f>IF(H4&gt;0,G4/H4,0)</f>
        <v/>
      </c>
    </row>
    <row r="5">
      <c r="A5" s="7" t="n">
        <v>46077</v>
      </c>
      <c r="B5" s="5" t="n">
        <v>150</v>
      </c>
      <c r="C5" s="5" t="n">
        <v>0</v>
      </c>
      <c r="D5" s="6">
        <f>D4+B5</f>
        <v/>
      </c>
      <c r="E5" s="6">
        <f>E4+C5</f>
        <v/>
      </c>
      <c r="F5" s="6">
        <f>D5/160+E5</f>
        <v/>
      </c>
      <c r="G5" s="6">
        <f>MAX((80-F5)*160,0)</f>
        <v/>
      </c>
      <c r="H5" s="6">
        <f t="array" ref="H5">IF(4&gt;=21,SUMPRODUCT(B2:B5+C2:C5*160)/21,0)</f>
        <v/>
      </c>
      <c r="I5" s="6">
        <f>IF(H5&gt;0,G5/H5,0)</f>
        <v/>
      </c>
    </row>
    <row r="6">
      <c r="A6" s="4" t="n">
        <v>46078</v>
      </c>
      <c r="B6" s="2" t="n">
        <v>150</v>
      </c>
      <c r="C6" s="2" t="n">
        <v>0</v>
      </c>
      <c r="D6" s="3">
        <f>D5+B6</f>
        <v/>
      </c>
      <c r="E6" s="3">
        <f>E5+C6</f>
        <v/>
      </c>
      <c r="F6" s="3">
        <f>D6/160+E6</f>
        <v/>
      </c>
      <c r="G6" s="3">
        <f>MAX((80-F6)*160,0)</f>
        <v/>
      </c>
      <c r="H6" s="3">
        <f t="array" ref="H6">IF(5&gt;=21,SUMPRODUCT(B2:B6+C2:C6*160)/21,0)</f>
        <v/>
      </c>
      <c r="I6" s="3">
        <f>IF(H6&gt;0,G6/H6,0)</f>
        <v/>
      </c>
    </row>
    <row r="7">
      <c r="A7" s="7" t="n">
        <v>46079</v>
      </c>
      <c r="B7" s="5" t="n">
        <v>150</v>
      </c>
      <c r="C7" s="5" t="n">
        <v>0</v>
      </c>
      <c r="D7" s="6">
        <f>D6+B7</f>
        <v/>
      </c>
      <c r="E7" s="6">
        <f>E6+C7</f>
        <v/>
      </c>
      <c r="F7" s="6">
        <f>D7/160+E7</f>
        <v/>
      </c>
      <c r="G7" s="6">
        <f>MAX((80-F7)*160,0)</f>
        <v/>
      </c>
      <c r="H7" s="6">
        <f t="array" ref="H7">IF(6&gt;=21,SUMPRODUCT(B2:B7+C2:C7*160)/21,0)</f>
        <v/>
      </c>
      <c r="I7" s="6">
        <f>IF(H7&gt;0,G7/H7,0)</f>
        <v/>
      </c>
    </row>
    <row r="8">
      <c r="A8" s="4" t="n">
        <v>46080</v>
      </c>
      <c r="B8" s="2" t="n">
        <v>150</v>
      </c>
      <c r="C8" s="2" t="n">
        <v>2</v>
      </c>
      <c r="D8" s="3">
        <f>D7+B8</f>
        <v/>
      </c>
      <c r="E8" s="3">
        <f>E7+C8</f>
        <v/>
      </c>
      <c r="F8" s="3">
        <f>D8/160+E8</f>
        <v/>
      </c>
      <c r="G8" s="3">
        <f>MAX((80-F8)*160,0)</f>
        <v/>
      </c>
      <c r="H8" s="3">
        <f t="array" ref="H8">IF(7&gt;=21,SUMPRODUCT(B2:B8+C2:C8*160)/21,0)</f>
        <v/>
      </c>
      <c r="I8" s="3">
        <f>IF(H8&gt;0,G8/H8,0)</f>
        <v/>
      </c>
    </row>
    <row r="9">
      <c r="A9" s="7" t="n">
        <v>46081</v>
      </c>
      <c r="B9" s="5" t="n">
        <v>150</v>
      </c>
      <c r="C9" s="5" t="n">
        <v>0</v>
      </c>
      <c r="D9" s="6">
        <f>D8+B9</f>
        <v/>
      </c>
      <c r="E9" s="6">
        <f>E8+C9</f>
        <v/>
      </c>
      <c r="F9" s="6">
        <f>D9/160+E9</f>
        <v/>
      </c>
      <c r="G9" s="6">
        <f>MAX((80-F9)*160,0)</f>
        <v/>
      </c>
      <c r="H9" s="6">
        <f t="array" ref="H9">IF(8&gt;=21,SUMPRODUCT(B2:B9+C2:C9*160)/21,0)</f>
        <v/>
      </c>
      <c r="I9" s="6">
        <f>IF(H9&gt;0,G9/H9,0)</f>
        <v/>
      </c>
    </row>
    <row r="10">
      <c r="A10" s="4" t="n">
        <v>46082</v>
      </c>
      <c r="B10" s="2" t="n">
        <v>150</v>
      </c>
      <c r="C10" s="2" t="n">
        <v>10</v>
      </c>
      <c r="D10" s="3">
        <f>D9+B10</f>
        <v/>
      </c>
      <c r="E10" s="3">
        <f>E9+C10</f>
        <v/>
      </c>
      <c r="F10" s="3">
        <f>D10/160+E10</f>
        <v/>
      </c>
      <c r="G10" s="3">
        <f>MAX((80-F10)*160,0)</f>
        <v/>
      </c>
      <c r="H10" s="3">
        <f t="array" ref="H10">IF(9&gt;=21,SUMPRODUCT(B2:B10+C2:C10*160)/21,0)</f>
        <v/>
      </c>
      <c r="I10" s="3">
        <f>IF(H10&gt;0,G10/H10,0)</f>
        <v/>
      </c>
    </row>
    <row r="11">
      <c r="A11" s="7" t="n">
        <v>46083</v>
      </c>
      <c r="B11" s="5" t="n">
        <v>950</v>
      </c>
      <c r="C11" s="5" t="n">
        <v>0</v>
      </c>
      <c r="D11" s="6">
        <f>D10+B11</f>
        <v/>
      </c>
      <c r="E11" s="6">
        <f>E10+C11</f>
        <v/>
      </c>
      <c r="F11" s="6">
        <f>D11/160+E11</f>
        <v/>
      </c>
      <c r="G11" s="6">
        <f>MAX((80-F11)*160,0)</f>
        <v/>
      </c>
      <c r="H11" s="6">
        <f t="array" ref="H11">IF(10&gt;=21,SUMPRODUCT(B2:B11+C2:C11*160)/21,0)</f>
        <v/>
      </c>
      <c r="I11" s="6">
        <f>IF(H11&gt;0,G11/H11,0)</f>
        <v/>
      </c>
    </row>
    <row r="12">
      <c r="A12" s="4" t="n">
        <v>46084</v>
      </c>
      <c r="B12" s="2" t="n">
        <v>200</v>
      </c>
      <c r="C12" s="2" t="n">
        <v>0</v>
      </c>
      <c r="D12" s="3">
        <f>D11+B12</f>
        <v/>
      </c>
      <c r="E12" s="3">
        <f>E11+C12</f>
        <v/>
      </c>
      <c r="F12" s="3">
        <f>D12/160+E12</f>
        <v/>
      </c>
      <c r="G12" s="3">
        <f>MAX((80-F12)*160,0)</f>
        <v/>
      </c>
      <c r="H12" s="3">
        <f t="array" ref="H12">IF(11&gt;=21,SUMPRODUCT(B2:B12+C2:C12*160)/21,0)</f>
        <v/>
      </c>
      <c r="I12" s="3">
        <f>IF(H12&gt;0,G12/H12,0)</f>
        <v/>
      </c>
    </row>
    <row r="13">
      <c r="A13" s="7" t="n">
        <v>46085</v>
      </c>
      <c r="B13" s="5" t="n">
        <v>230</v>
      </c>
      <c r="C13" s="5" t="n">
        <v>0</v>
      </c>
      <c r="D13" s="6">
        <f>D12+B13</f>
        <v/>
      </c>
      <c r="E13" s="6">
        <f>E12+C13</f>
        <v/>
      </c>
      <c r="F13" s="6">
        <f>D13/160+E13</f>
        <v/>
      </c>
      <c r="G13" s="6">
        <f>MAX((80-F13)*160,0)</f>
        <v/>
      </c>
      <c r="H13" s="6">
        <f t="array" ref="H13">IF(12&gt;=21,SUMPRODUCT(B2:B13+C2:C13*160)/21,0)</f>
        <v/>
      </c>
      <c r="I13" s="6">
        <f>IF(H13&gt;0,G13/H13,0)</f>
        <v/>
      </c>
    </row>
    <row r="14">
      <c r="A14" s="4" t="n">
        <v>46086</v>
      </c>
      <c r="B14" s="2" t="n">
        <v>170</v>
      </c>
      <c r="C14" s="2" t="n">
        <v>0</v>
      </c>
      <c r="D14" s="3">
        <f>D13+B14</f>
        <v/>
      </c>
      <c r="E14" s="3">
        <f>E13+C14</f>
        <v/>
      </c>
      <c r="F14" s="3">
        <f>D14/160+E14</f>
        <v/>
      </c>
      <c r="G14" s="3">
        <f>MAX((80-F14)*160,0)</f>
        <v/>
      </c>
      <c r="H14" s="3">
        <f t="array" ref="H14">IF(13&gt;=21,SUMPRODUCT(B2:B14+C2:C14*160)/21,0)</f>
        <v/>
      </c>
      <c r="I14" s="3">
        <f>IF(H14&gt;0,G14/H14,0)</f>
        <v/>
      </c>
    </row>
    <row r="15">
      <c r="A15" s="7" t="n">
        <v>46087</v>
      </c>
      <c r="B15" s="5" t="n">
        <v>150</v>
      </c>
      <c r="C15" s="5" t="n">
        <v>0</v>
      </c>
      <c r="D15" s="6">
        <f>D14+B15</f>
        <v/>
      </c>
      <c r="E15" s="6">
        <f>E14+C15</f>
        <v/>
      </c>
      <c r="F15" s="6">
        <f>D15/160+E15</f>
        <v/>
      </c>
      <c r="G15" s="6">
        <f>MAX((80-F15)*160,0)</f>
        <v/>
      </c>
      <c r="H15" s="6">
        <f t="array" ref="H15">IF(14&gt;=21,SUMPRODUCT(B2:B15+C2:C15*160)/21,0)</f>
        <v/>
      </c>
      <c r="I15" s="6">
        <f>IF(H15&gt;0,G15/H15,0)</f>
        <v/>
      </c>
    </row>
    <row r="16">
      <c r="A16" s="4" t="n">
        <v>46088</v>
      </c>
      <c r="B16" s="2" t="n">
        <v>150</v>
      </c>
      <c r="C16" s="2" t="n">
        <v>0</v>
      </c>
      <c r="D16" s="3">
        <f>D15+B16</f>
        <v/>
      </c>
      <c r="E16" s="3">
        <f>E15+C16</f>
        <v/>
      </c>
      <c r="F16" s="3">
        <f>D16/160+E16</f>
        <v/>
      </c>
      <c r="G16" s="3">
        <f>MAX((80-F16)*160,0)</f>
        <v/>
      </c>
      <c r="H16" s="3">
        <f t="array" ref="H16">IF(15&gt;=21,SUMPRODUCT(B2:B16+C2:C16*160)/21,0)</f>
        <v/>
      </c>
      <c r="I16" s="3">
        <f>IF(H16&gt;0,G16/H16,0)</f>
        <v/>
      </c>
    </row>
    <row r="17">
      <c r="A17" s="7" t="n">
        <v>46089</v>
      </c>
      <c r="B17" s="5" t="n">
        <v>495</v>
      </c>
      <c r="C17" s="5" t="n">
        <v>0</v>
      </c>
      <c r="D17" s="6">
        <f>D16+B17</f>
        <v/>
      </c>
      <c r="E17" s="6">
        <f>E16+C17</f>
        <v/>
      </c>
      <c r="F17" s="6">
        <f>D17/160+E17</f>
        <v/>
      </c>
      <c r="G17" s="6">
        <f>MAX((80-F17)*160,0)</f>
        <v/>
      </c>
      <c r="H17" s="6">
        <f t="array" ref="H17">IF(16&gt;=21,SUMPRODUCT(B2:B17+C2:C17*160)/21,0)</f>
        <v/>
      </c>
      <c r="I17" s="6">
        <f>IF(H17&gt;0,G17/H17,0)</f>
        <v/>
      </c>
    </row>
    <row r="18">
      <c r="A18" s="4" t="n">
        <v>46090</v>
      </c>
      <c r="B18" s="2" t="n">
        <v>375</v>
      </c>
      <c r="C18" s="2" t="n">
        <v>0</v>
      </c>
      <c r="D18" s="3">
        <f>D17+B18</f>
        <v/>
      </c>
      <c r="E18" s="3">
        <f>E17+C18</f>
        <v/>
      </c>
      <c r="F18" s="3">
        <f>D18/160+E18</f>
        <v/>
      </c>
      <c r="G18" s="3">
        <f>MAX((80-F18)*160,0)</f>
        <v/>
      </c>
      <c r="H18" s="3">
        <f t="array" ref="H18">IF(17&gt;=21,SUMPRODUCT(B2:B18+C2:C18*160)/21,0)</f>
        <v/>
      </c>
      <c r="I18" s="3">
        <f>IF(H18&gt;0,G18/H18,0)</f>
        <v/>
      </c>
    </row>
    <row r="19">
      <c r="A19" s="7" t="n">
        <v>46091</v>
      </c>
      <c r="B19" s="5" t="n">
        <v>170</v>
      </c>
      <c r="C19" s="5" t="n">
        <v>0</v>
      </c>
      <c r="D19" s="6">
        <f>D18+B19</f>
        <v/>
      </c>
      <c r="E19" s="6">
        <f>E18+C19</f>
        <v/>
      </c>
      <c r="F19" s="6">
        <f>D19/160+E19</f>
        <v/>
      </c>
      <c r="G19" s="6">
        <f>MAX((80-F19)*160,0)</f>
        <v/>
      </c>
      <c r="H19" s="6">
        <f t="array" ref="H19">IF(18&gt;=21,SUMPRODUCT(B2:B19+C2:C19*160)/21,0)</f>
        <v/>
      </c>
      <c r="I19" s="6">
        <f>IF(H19&gt;0,G19/H19,0)</f>
        <v/>
      </c>
    </row>
    <row r="20">
      <c r="A20" s="4" t="n">
        <v>46092</v>
      </c>
      <c r="B20" s="2" t="n">
        <v>150</v>
      </c>
      <c r="C20" s="2" t="n">
        <v>0</v>
      </c>
      <c r="D20" s="3">
        <f>D19+B20</f>
        <v/>
      </c>
      <c r="E20" s="3">
        <f>E19+C20</f>
        <v/>
      </c>
      <c r="F20" s="3">
        <f>D20/160+E20</f>
        <v/>
      </c>
      <c r="G20" s="3">
        <f>MAX((80-F20)*160,0)</f>
        <v/>
      </c>
      <c r="H20" s="3">
        <f t="array" ref="H20">IF(19&gt;=21,SUMPRODUCT(B2:B20+C2:C20*160)/21,0)</f>
        <v/>
      </c>
      <c r="I20" s="3">
        <f>IF(H20&gt;0,G20/H20,0)</f>
        <v/>
      </c>
    </row>
    <row r="21">
      <c r="A21" s="7" t="n">
        <v>46093</v>
      </c>
      <c r="B21" s="5" t="n">
        <v>150</v>
      </c>
      <c r="C21" s="5" t="n">
        <v>0</v>
      </c>
      <c r="D21" s="6">
        <f>D20+B21</f>
        <v/>
      </c>
      <c r="E21" s="6">
        <f>E20+C21</f>
        <v/>
      </c>
      <c r="F21" s="6">
        <f>D21/160+E21</f>
        <v/>
      </c>
      <c r="G21" s="6">
        <f>MAX((80-F21)*160,0)</f>
        <v/>
      </c>
      <c r="H21" s="6">
        <f t="array" ref="H21">IF(20&gt;=21,SUMPRODUCT(B2:B21+C2:C21*160)/21,0)</f>
        <v/>
      </c>
      <c r="I21" s="6">
        <f>IF(H21&gt;0,G21/H21,0)</f>
        <v/>
      </c>
    </row>
    <row r="22">
      <c r="A22" s="4" t="n">
        <v>46094</v>
      </c>
      <c r="B22" s="2" t="n">
        <v>470</v>
      </c>
      <c r="C22" s="2" t="n">
        <v>0</v>
      </c>
      <c r="D22" s="3">
        <f>D21+B22</f>
        <v/>
      </c>
      <c r="E22" s="3">
        <f>E21+C22</f>
        <v/>
      </c>
      <c r="F22" s="3">
        <f>D22/160+E22</f>
        <v/>
      </c>
      <c r="G22" s="3">
        <f>MAX((80-F22)*160,0)</f>
        <v/>
      </c>
      <c r="H22" s="3">
        <f t="array" ref="H22">IF(21&gt;=21,SUMPRODUCT(B2:B22+C2:C22*160)/21,0)</f>
        <v/>
      </c>
      <c r="I22" s="3">
        <f>IF(H22&gt;0,G22/H22,0)</f>
        <v/>
      </c>
    </row>
    <row r="23">
      <c r="A23" s="7" t="n">
        <v>46095</v>
      </c>
      <c r="B23" s="5" t="n">
        <v>160</v>
      </c>
      <c r="C23" s="5" t="n">
        <v>0</v>
      </c>
      <c r="D23" s="6" t="n">
        <v>56</v>
      </c>
      <c r="E23" s="6" t="n">
        <v>200</v>
      </c>
      <c r="F23" s="6">
        <f>D23/160+E23</f>
        <v/>
      </c>
      <c r="G23" s="6">
        <f>MAX((80-F23)*160,0)</f>
        <v/>
      </c>
      <c r="H23" s="6">
        <f t="array" ref="H23">IF(22&gt;=21,SUMPRODUCT(B3:B23+C3:C23*160)/21,0)</f>
        <v/>
      </c>
      <c r="I23" s="6">
        <f>IF(H23&gt;0,G23/H23,0)</f>
        <v/>
      </c>
    </row>
    <row r="24">
      <c r="A24" s="4" t="n">
        <v>46096</v>
      </c>
      <c r="B24" s="2" t="n">
        <v>155</v>
      </c>
      <c r="C24" s="2" t="n">
        <v>0</v>
      </c>
      <c r="D24" s="3">
        <f>D23+B24</f>
        <v/>
      </c>
      <c r="E24" s="3">
        <f>E23+C24</f>
        <v/>
      </c>
      <c r="F24" s="3">
        <f>D24/160+E24</f>
        <v/>
      </c>
      <c r="G24" s="3">
        <f>MAX((80-F24)*160,0)</f>
        <v/>
      </c>
      <c r="H24" s="3">
        <f t="array" ref="H24">IF(23&gt;=21,SUMPRODUCT(B4:B24+C4:C24*160)/21,0)</f>
        <v/>
      </c>
      <c r="I24" s="3">
        <f>IF(H24&gt;0,G24/H24,0)</f>
        <v/>
      </c>
    </row>
    <row r="25">
      <c r="A25" s="7" t="n">
        <v>46097</v>
      </c>
      <c r="B25" s="5" t="n">
        <v>1320</v>
      </c>
      <c r="C25" s="5" t="n">
        <v>0</v>
      </c>
      <c r="D25" s="6">
        <f>D24+B25</f>
        <v/>
      </c>
      <c r="E25" s="6">
        <f>E24+C25</f>
        <v/>
      </c>
      <c r="F25" s="6">
        <f>D25/160+E25</f>
        <v/>
      </c>
      <c r="G25" s="6">
        <f>MAX((80-F25)*160,0)</f>
        <v/>
      </c>
      <c r="H25" s="6">
        <f t="array" ref="H25">IF(24&gt;=21,SUMPRODUCT(B5:B25+C5:C25*160)/21,0)</f>
        <v/>
      </c>
      <c r="I25" s="6">
        <f>IF(H25&gt;0,G25/H25,0)</f>
        <v/>
      </c>
    </row>
    <row r="26">
      <c r="A26" s="4" t="n">
        <v>46098</v>
      </c>
      <c r="B26" s="2" t="n">
        <v>215</v>
      </c>
      <c r="C26" s="2" t="n">
        <v>0</v>
      </c>
      <c r="D26" s="3">
        <f>D25+B26</f>
        <v/>
      </c>
      <c r="E26" s="3">
        <f>E25+C26</f>
        <v/>
      </c>
      <c r="F26" s="3">
        <f>D26/160+E26</f>
        <v/>
      </c>
      <c r="G26" s="3">
        <f>MAX((80-F26)*160,0)</f>
        <v/>
      </c>
      <c r="H26" s="3">
        <f t="array" ref="H26">IF(25&gt;=21,SUMPRODUCT(B6:B26+C6:C26*160)/21,0)</f>
        <v/>
      </c>
      <c r="I26" s="3">
        <f>IF(H26&gt;0,G26/H26,0)</f>
        <v/>
      </c>
    </row>
    <row r="27">
      <c r="A27" s="7" t="n">
        <v>46099</v>
      </c>
      <c r="B27" s="5" t="n">
        <v>150</v>
      </c>
      <c r="C27" s="5" t="n">
        <v>0</v>
      </c>
      <c r="D27" s="6">
        <f>D26+B27</f>
        <v/>
      </c>
      <c r="E27" s="6">
        <f>E26+C27</f>
        <v/>
      </c>
      <c r="F27" s="6">
        <f>D27/160+E27</f>
        <v/>
      </c>
      <c r="G27" s="6">
        <f>MAX((80-F27)*160,0)</f>
        <v/>
      </c>
      <c r="H27" s="6">
        <f t="array" ref="H27">IF(26&gt;=21,SUMPRODUCT(B7:B27+C7:C27*160)/21,0)</f>
        <v/>
      </c>
      <c r="I27" s="6">
        <f>IF(H27&gt;0,G27/H27,0)</f>
        <v/>
      </c>
    </row>
    <row r="28">
      <c r="A28" s="4" t="n">
        <v>46100</v>
      </c>
      <c r="B28" s="2" t="n">
        <v>170</v>
      </c>
      <c r="C28" s="2" t="n">
        <v>0</v>
      </c>
      <c r="D28" s="3">
        <f>D27+B28</f>
        <v/>
      </c>
      <c r="E28" s="3">
        <f>E27+C28</f>
        <v/>
      </c>
      <c r="F28" s="3">
        <f>D28/160+E28</f>
        <v/>
      </c>
      <c r="G28" s="3">
        <f>MAX((80-F28)*160,0)</f>
        <v/>
      </c>
      <c r="H28" s="3">
        <f t="array" ref="H28">IF(27&gt;=21,SUMPRODUCT(B8:B28+C8:C28*160)/21,0)</f>
        <v/>
      </c>
      <c r="I28" s="3">
        <f>IF(H28&gt;0,G28/H28,0)</f>
        <v/>
      </c>
    </row>
    <row r="29">
      <c r="A29" s="7" t="n">
        <v>46101</v>
      </c>
      <c r="B29" s="5" t="n">
        <v>150</v>
      </c>
      <c r="C29" s="5" t="n">
        <v>0</v>
      </c>
      <c r="D29" s="6">
        <f>D28+B29</f>
        <v/>
      </c>
      <c r="E29" s="6">
        <f>E28+C29</f>
        <v/>
      </c>
      <c r="F29" s="6">
        <f>D29/160+E29</f>
        <v/>
      </c>
      <c r="G29" s="6">
        <f>MAX((80-F29)*160,0)</f>
        <v/>
      </c>
      <c r="H29" s="6">
        <f t="array" ref="H29">IF(28&gt;=21,SUMPRODUCT(B9:B29+C9:C29*160)/21,0)</f>
        <v/>
      </c>
      <c r="I29" s="6">
        <f>IF(H29&gt;0,G29/H29,0)</f>
        <v/>
      </c>
    </row>
    <row r="30">
      <c r="A30" s="4" t="n">
        <v>46102</v>
      </c>
      <c r="B30" s="2" t="n">
        <v>150</v>
      </c>
      <c r="C30" s="2" t="n">
        <v>0</v>
      </c>
      <c r="D30" s="3">
        <f>D29+B30</f>
        <v/>
      </c>
      <c r="E30" s="3">
        <f>E29+C30</f>
        <v/>
      </c>
      <c r="F30" s="3">
        <f>D30/160+E30</f>
        <v/>
      </c>
      <c r="G30" s="3">
        <f>MAX((80-F30)*160,0)</f>
        <v/>
      </c>
      <c r="H30" s="3">
        <f t="array" ref="H30">IF(29&gt;=21,SUMPRODUCT(B10:B30+C10:C30*160)/21,0)</f>
        <v/>
      </c>
      <c r="I30" s="3">
        <f>IF(H30&gt;0,G30/H30,0)</f>
        <v/>
      </c>
    </row>
    <row r="31">
      <c r="A31" s="8" t="inlineStr">
        <is>
          <t>2026-03-22</t>
        </is>
      </c>
      <c r="B31" s="9" t="n">
        <v>150</v>
      </c>
      <c r="C31" s="9" t="n">
        <v>0</v>
      </c>
      <c r="D31" s="10">
        <f>D30+B31</f>
        <v/>
      </c>
      <c r="E31" s="10">
        <f>E30+C31</f>
        <v/>
      </c>
      <c r="F31" s="10">
        <f>D31/160+E31</f>
        <v/>
      </c>
      <c r="G31" s="10">
        <f>MAX((80-F31)*160,0)</f>
        <v/>
      </c>
      <c r="H31" s="10">
        <f>IF(21&gt;=21,SUMPRODUCT(B11:B31+C11:C31*160)/21,0)</f>
        <v/>
      </c>
      <c r="I31" s="10">
        <f>IF(H31&gt;0,G31/H31,0)</f>
        <v/>
      </c>
    </row>
    <row r="32">
      <c r="A32" s="11" t="inlineStr">
        <is>
          <t>2026-03-23</t>
        </is>
      </c>
      <c r="B32" s="12" t="n">
        <v>375</v>
      </c>
      <c r="C32" s="12" t="n">
        <v>0</v>
      </c>
      <c r="D32" s="13">
        <f>D31+B32</f>
        <v/>
      </c>
      <c r="E32" s="13">
        <f>E31+C32</f>
        <v/>
      </c>
      <c r="F32" s="13">
        <f>D32/160+E32</f>
        <v/>
      </c>
      <c r="G32" s="13">
        <f>MAX((80-F32)*160,0)</f>
        <v/>
      </c>
      <c r="H32" s="13">
        <f>IF(21&gt;=21,SUMPRODUCT(B12:B32+C12:C32*160)/21,0)</f>
        <v/>
      </c>
      <c r="I32" s="13">
        <f>IF(H32&gt;0,G32/H32,0)</f>
        <v/>
      </c>
    </row>
    <row r="33">
      <c r="A33" s="14" t="inlineStr">
        <is>
          <t>2026-03-24</t>
        </is>
      </c>
      <c r="B33" s="15" t="n">
        <v>150</v>
      </c>
      <c r="C33" s="15" t="n">
        <v>0</v>
      </c>
      <c r="D33" s="16">
        <f>D32+B33</f>
        <v/>
      </c>
      <c r="E33" s="16">
        <f>E32+C33</f>
        <v/>
      </c>
      <c r="F33" s="16">
        <f>D33/160+E33</f>
        <v/>
      </c>
      <c r="G33" s="16">
        <f>MAX((80-F33)*160,0)</f>
        <v/>
      </c>
      <c r="H33" s="16">
        <f>IF(21&gt;=21,SUMPRODUCT(B13:B33+C13:C33*160)/21,0)</f>
        <v/>
      </c>
      <c r="I33" s="16">
        <f>IF(H33&gt;0,G33/H33,0)</f>
        <v/>
      </c>
    </row>
    <row r="34">
      <c r="A34" s="17" t="inlineStr">
        <is>
          <t>2026-03-25</t>
        </is>
      </c>
      <c r="B34" s="18" t="n">
        <v>493</v>
      </c>
      <c r="C34" s="18" t="n">
        <v>0</v>
      </c>
      <c r="D34" s="19">
        <f>D33+B34</f>
        <v/>
      </c>
      <c r="E34" s="19">
        <f>E33+C34</f>
        <v/>
      </c>
      <c r="F34" s="19">
        <f>D34/160+E34</f>
        <v/>
      </c>
      <c r="G34" s="19">
        <f>MAX((80-F34)*160,0)</f>
        <v/>
      </c>
      <c r="H34" s="19">
        <f>IF(21&gt;=21,SUMPRODUCT(B14:B34+C14:C34*160)/21,0)</f>
        <v/>
      </c>
      <c r="I34" s="19">
        <f>IF(H34&gt;0,G34/H34,0)</f>
        <v/>
      </c>
    </row>
    <row r="35">
      <c r="A35" s="14" t="inlineStr">
        <is>
          <t>2026-03-26</t>
        </is>
      </c>
      <c r="B35" s="15" t="n">
        <v>593</v>
      </c>
      <c r="C35" s="15" t="n">
        <v>0</v>
      </c>
      <c r="D35" s="16">
        <f>D34+B35</f>
        <v/>
      </c>
      <c r="E35" s="16">
        <f>E34+C35</f>
        <v/>
      </c>
      <c r="F35" s="16">
        <f>D35/160+E35</f>
        <v/>
      </c>
      <c r="G35" s="16">
        <f>MAX((80-F35)*160,0)</f>
        <v/>
      </c>
      <c r="H35" s="16">
        <f>IF(21&gt;=21,SUMPRODUCT(B15:B35+C15:C35*160)/21,0)</f>
        <v/>
      </c>
      <c r="I35" s="16">
        <f>IF(H35&gt;0,G35/H35,0)</f>
        <v/>
      </c>
    </row>
    <row r="36">
      <c r="A36" s="17" t="inlineStr">
        <is>
          <t>2026-03-27</t>
        </is>
      </c>
      <c r="B36" s="18" t="n">
        <v>655</v>
      </c>
      <c r="C36" s="18" t="n">
        <v>0</v>
      </c>
      <c r="D36" s="19">
        <f>D35+B36</f>
        <v/>
      </c>
      <c r="E36" s="19">
        <f>E35+C36</f>
        <v/>
      </c>
      <c r="F36" s="19">
        <f>D36/160+E36</f>
        <v/>
      </c>
      <c r="G36" s="19">
        <f>MAX((80-F36)*160,0)</f>
        <v/>
      </c>
      <c r="H36" s="19">
        <f>IF(21&gt;=21,SUMPRODUCT(B16:B36+C16:C36*160)/21,0)</f>
        <v/>
      </c>
      <c r="I36" s="19">
        <f>IF(H36&gt;0,G36/H36,0)</f>
        <v/>
      </c>
    </row>
    <row r="37">
      <c r="A37" s="14" t="inlineStr">
        <is>
          <t>2026-03-28</t>
        </is>
      </c>
      <c r="B37" s="15" t="n">
        <v>170</v>
      </c>
      <c r="C37" s="15" t="n">
        <v>0</v>
      </c>
      <c r="D37" s="16">
        <f>D36+B37</f>
        <v/>
      </c>
      <c r="E37" s="16">
        <f>E36+C37</f>
        <v/>
      </c>
      <c r="F37" s="16">
        <f>D37/160+E37</f>
        <v/>
      </c>
      <c r="G37" s="16">
        <f>MAX((80-F37)*160,0)</f>
        <v/>
      </c>
      <c r="H37" s="16">
        <f>IF(21&gt;=21,SUMPRODUCT(B17:B37+C17:C37*160)/21,0)</f>
        <v/>
      </c>
      <c r="I37" s="16">
        <f>IF(H37&gt;0,G37/H37,0)</f>
        <v/>
      </c>
    </row>
    <row r="38">
      <c r="A38" s="17" t="inlineStr">
        <is>
          <t>2026-03-29</t>
        </is>
      </c>
      <c r="B38" s="18" t="n">
        <v>110</v>
      </c>
      <c r="C38" s="18" t="n">
        <v>0</v>
      </c>
      <c r="D38" s="19">
        <f>D37+B38</f>
        <v/>
      </c>
      <c r="E38" s="19">
        <f>E37+C38</f>
        <v/>
      </c>
      <c r="F38" s="19">
        <f>D38/160+E38</f>
        <v/>
      </c>
      <c r="G38" s="19">
        <f>MAX((80-F38)*160,0)</f>
        <v/>
      </c>
      <c r="H38" s="19">
        <f>IF(21&gt;=21,SUMPRODUCT(B18:B38+C18:C38*160)/21,0)</f>
        <v/>
      </c>
      <c r="I38" s="19">
        <f>IF(H38&gt;0,G38/H38,0)</f>
        <v/>
      </c>
    </row>
    <row r="39">
      <c r="A39" s="14" t="inlineStr">
        <is>
          <t>2026-03-30</t>
        </is>
      </c>
      <c r="B39" s="15" t="n">
        <v>960</v>
      </c>
      <c r="C39" s="15" t="n">
        <v>0</v>
      </c>
      <c r="D39" s="16">
        <f>D38+B39</f>
        <v/>
      </c>
      <c r="E39" s="16">
        <f>E38+C39</f>
        <v/>
      </c>
      <c r="F39" s="16">
        <f>D39/160+E39</f>
        <v/>
      </c>
      <c r="G39" s="16">
        <f>MAX((80-F39)*160,0)</f>
        <v/>
      </c>
      <c r="H39" s="16">
        <f>IF(21&gt;=21,SUMPRODUCT(B19:B39+C19:C39*160)/21,0)</f>
        <v/>
      </c>
      <c r="I39" s="16">
        <f>IF(H39&gt;0,G39/H39,0)</f>
        <v/>
      </c>
    </row>
    <row r="40">
      <c r="A40" s="17" t="inlineStr">
        <is>
          <t>2026-03-31</t>
        </is>
      </c>
      <c r="B40" s="18" t="n">
        <v>380</v>
      </c>
      <c r="C40" s="18" t="n">
        <v>0</v>
      </c>
      <c r="D40" s="19" t="n">
        <v>91</v>
      </c>
      <c r="E40" s="19" t="n">
        <v>30</v>
      </c>
      <c r="F40" s="19">
        <f>D40/160+E40</f>
        <v/>
      </c>
      <c r="G40" s="19">
        <f>MAX((80-F40)*160,0)</f>
        <v/>
      </c>
      <c r="H40" s="19">
        <f>IF(21&gt;=21,SUMPRODUCT(B20:B40+C20:C40*160)/21,0)</f>
        <v/>
      </c>
      <c r="I40" s="19">
        <f>IF(H40&gt;0,G40/H40,0)</f>
        <v/>
      </c>
    </row>
    <row r="41">
      <c r="A41" s="20" t="inlineStr">
        <is>
          <t>2026-04-01</t>
        </is>
      </c>
      <c r="B41" s="21" t="n">
        <v>100</v>
      </c>
      <c r="C41" s="21" t="n">
        <v>0</v>
      </c>
      <c r="D41" s="22">
        <f>D40+B41</f>
        <v/>
      </c>
      <c r="E41" s="22">
        <f>E40+C41</f>
        <v/>
      </c>
      <c r="F41" s="22">
        <f>D41/160+E41</f>
        <v/>
      </c>
      <c r="G41" s="22">
        <f>MAX((80-F41)*160,0)</f>
        <v/>
      </c>
      <c r="H41" s="22">
        <f>IF(21&gt;=21,SUMPRODUCT(B21:B41+C21:C41*160)/21,0)</f>
        <v/>
      </c>
      <c r="I41" s="22">
        <f>IF(H41&gt;0,G41/H41,0)</f>
        <v/>
      </c>
    </row>
    <row r="42">
      <c r="A42" s="23" t="inlineStr">
        <is>
          <t>2026-04-02</t>
        </is>
      </c>
      <c r="B42" s="24" t="n">
        <v>481</v>
      </c>
      <c r="C42" s="24" t="n">
        <v>0</v>
      </c>
      <c r="D42" s="25">
        <f>D41+B42</f>
        <v/>
      </c>
      <c r="E42" s="25">
        <f>E41+C42</f>
        <v/>
      </c>
      <c r="F42" s="25">
        <f>D42/160+E42</f>
        <v/>
      </c>
      <c r="G42" s="25">
        <f>MAX((80-F42)*160,0)</f>
        <v/>
      </c>
      <c r="H42" s="25">
        <f>IF(21&gt;=21,SUMPRODUCT(B22:B42+C22:C42*160)/21,0)</f>
        <v/>
      </c>
      <c r="I42" s="25">
        <f>IF(H42&gt;0,G42/H42,0)</f>
        <v/>
      </c>
    </row>
    <row r="43">
      <c r="A43" s="20" t="inlineStr">
        <is>
          <t>2026-04-03</t>
        </is>
      </c>
      <c r="B43" s="21" t="n">
        <v>150</v>
      </c>
      <c r="C43" s="21" t="n">
        <v>0</v>
      </c>
      <c r="D43" s="22">
        <f>D42+B43</f>
        <v/>
      </c>
      <c r="E43" s="22">
        <f>E42+C43</f>
        <v/>
      </c>
      <c r="F43" s="22">
        <f>D43/160+E43</f>
        <v/>
      </c>
      <c r="G43" s="22">
        <f>MAX((80-F43)*160,0)</f>
        <v/>
      </c>
      <c r="H43" s="22">
        <f>IF(21&gt;=21,SUMPRODUCT(B23:B43+C23:C43*160)/21,0)</f>
        <v/>
      </c>
      <c r="I43" s="22">
        <f>IF(H43&gt;0,G43/H43,0)</f>
        <v/>
      </c>
    </row>
    <row r="44">
      <c r="A44" s="23" t="inlineStr">
        <is>
          <t>2026-04-04</t>
        </is>
      </c>
      <c r="B44" s="24" t="n">
        <v>150</v>
      </c>
      <c r="C44" s="24" t="n">
        <v>0</v>
      </c>
      <c r="D44" s="25">
        <f>D43+B44</f>
        <v/>
      </c>
      <c r="E44" s="25">
        <f>E43+C44</f>
        <v/>
      </c>
      <c r="F44" s="25">
        <f>D44/160+E44</f>
        <v/>
      </c>
      <c r="G44" s="25">
        <f>MAX((80-F44)*160,0)</f>
        <v/>
      </c>
      <c r="H44" s="25">
        <f>IF(21&gt;=21,SUMPRODUCT(B24:B44+C24:C44*160)/21,0)</f>
        <v/>
      </c>
      <c r="I44" s="25">
        <f>IF(H44&gt;0,G44/H44,0)</f>
        <v/>
      </c>
    </row>
    <row r="45">
      <c r="A45" s="20" t="inlineStr">
        <is>
          <t>2026-04-05</t>
        </is>
      </c>
      <c r="B45" s="21" t="n">
        <v>0</v>
      </c>
      <c r="C45" s="21" t="n">
        <v>0</v>
      </c>
      <c r="D45" s="22">
        <f>D44+B45</f>
        <v/>
      </c>
      <c r="E45" s="22">
        <f>E44+C45</f>
        <v/>
      </c>
      <c r="F45" s="22">
        <f>D45/160+E45</f>
        <v/>
      </c>
      <c r="G45" s="22">
        <f>MAX((80-F45)*160,0)</f>
        <v/>
      </c>
      <c r="H45" s="22">
        <f>IF(21&gt;=21,SUMPRODUCT(B25:B45+C25:C45*160)/21,0)</f>
        <v/>
      </c>
      <c r="I45" s="22">
        <f>IF(H45&gt;0,G45/H45,0)</f>
        <v/>
      </c>
    </row>
    <row r="46">
      <c r="A46" s="23" t="inlineStr">
        <is>
          <t>2026-04-06</t>
        </is>
      </c>
      <c r="B46" s="24" t="n">
        <v>150</v>
      </c>
      <c r="C46" s="24" t="n">
        <v>0</v>
      </c>
      <c r="D46" s="25">
        <f>D45+B46</f>
        <v/>
      </c>
      <c r="E46" s="25">
        <f>E45+C46</f>
        <v/>
      </c>
      <c r="F46" s="25">
        <f>D46/160+E46</f>
        <v/>
      </c>
      <c r="G46" s="25">
        <f>MAX((80-F46)*160,0)</f>
        <v/>
      </c>
      <c r="H46" s="25">
        <f>IF(21&gt;=21,SUMPRODUCT(B26:B46+C26:C46*160)/21,0)</f>
        <v/>
      </c>
      <c r="I46" s="25">
        <f>IF(H46&gt;0,G46/H46,0)</f>
        <v/>
      </c>
    </row>
    <row r="47">
      <c r="A47" s="20" t="inlineStr">
        <is>
          <t>2026-04-07</t>
        </is>
      </c>
      <c r="B47" s="21" t="n">
        <v>150</v>
      </c>
      <c r="C47" s="21" t="n">
        <v>0</v>
      </c>
      <c r="D47" s="22">
        <f>D46+B47</f>
        <v/>
      </c>
      <c r="E47" s="22">
        <f>E46+C47</f>
        <v/>
      </c>
      <c r="F47" s="22">
        <f>D47/160+E47</f>
        <v/>
      </c>
      <c r="G47" s="22">
        <f>MAX((80-F47)*160,0)</f>
        <v/>
      </c>
      <c r="H47" s="22">
        <f>IF(21&gt;=21,SUMPRODUCT(B27:B47+C27:C47*160)/21,0)</f>
        <v/>
      </c>
      <c r="I47" s="22">
        <f>IF(H47&gt;0,G47/H47,0)</f>
        <v/>
      </c>
    </row>
    <row r="48">
      <c r="A48" s="23" t="inlineStr">
        <is>
          <t>2026-04-08</t>
        </is>
      </c>
      <c r="B48" s="24" t="n">
        <v>150</v>
      </c>
      <c r="C48" s="24" t="n">
        <v>0</v>
      </c>
      <c r="D48" s="25">
        <f>D47+B48</f>
        <v/>
      </c>
      <c r="E48" s="25">
        <f>E47+C48</f>
        <v/>
      </c>
      <c r="F48" s="25">
        <f>D48/160+E48</f>
        <v/>
      </c>
      <c r="G48" s="25">
        <f>MAX((80-F48)*160,0)</f>
        <v/>
      </c>
      <c r="H48" s="25">
        <f>IF(21&gt;=21,SUMPRODUCT(B28:B48+C28:C48*160)/21,0)</f>
        <v/>
      </c>
      <c r="I48" s="25">
        <f>IF(H48&gt;0,G48/H48,0)</f>
        <v/>
      </c>
    </row>
    <row r="49">
      <c r="A49" s="20" t="inlineStr">
        <is>
          <t>2026-04-09</t>
        </is>
      </c>
      <c r="B49" s="21" t="n">
        <v>525</v>
      </c>
      <c r="C49" s="21" t="n">
        <v>0</v>
      </c>
      <c r="D49" s="22">
        <f>D48+B49</f>
        <v/>
      </c>
      <c r="E49" s="22">
        <f>E48+C49</f>
        <v/>
      </c>
      <c r="F49" s="22">
        <f>D49/160+E49</f>
        <v/>
      </c>
      <c r="G49" s="22">
        <f>MAX((80-F49)*160,0)</f>
        <v/>
      </c>
      <c r="H49" s="22">
        <f>IF(21&gt;=21,SUMPRODUCT(B29:B49+C29:C49*160)/21,0)</f>
        <v/>
      </c>
      <c r="I49" s="22">
        <f>IF(H49&gt;0,G49/H49,0)</f>
        <v/>
      </c>
    </row>
    <row r="50">
      <c r="A50" s="23" t="inlineStr">
        <is>
          <t>2026-04-10</t>
        </is>
      </c>
      <c r="B50" s="24" t="n">
        <v>450</v>
      </c>
      <c r="C50" s="24" t="n">
        <v>0</v>
      </c>
      <c r="D50" s="25">
        <f>D49+B50</f>
        <v/>
      </c>
      <c r="E50" s="25">
        <f>E49+C50</f>
        <v/>
      </c>
      <c r="F50" s="25">
        <f>D50/160+E50</f>
        <v/>
      </c>
      <c r="G50" s="25">
        <f>MAX((80-F50)*160,0)</f>
        <v/>
      </c>
      <c r="H50" s="25">
        <f>IF(21&gt;=21,SUMPRODUCT(B30:B50+C30:C50*160)/21,0)</f>
        <v/>
      </c>
      <c r="I50" s="25">
        <f>IF(H50&gt;0,G50/H50,0)</f>
        <v/>
      </c>
    </row>
    <row r="51">
      <c r="A51" s="20" t="inlineStr">
        <is>
          <t>2026-04-11</t>
        </is>
      </c>
      <c r="B51" s="21" t="n">
        <v>150</v>
      </c>
      <c r="C51" s="21" t="n">
        <v>0</v>
      </c>
      <c r="D51" s="22">
        <f>D50+B51</f>
        <v/>
      </c>
      <c r="E51" s="22">
        <f>E50+C51</f>
        <v/>
      </c>
      <c r="F51" s="22">
        <f>D51/160+E51</f>
        <v/>
      </c>
      <c r="G51" s="22">
        <f>MAX((80-F51)*160,0)</f>
        <v/>
      </c>
      <c r="H51" s="22">
        <f>IF(21&gt;=21,SUMPRODUCT(B31:B51+C31:C51*160)/21,0)</f>
        <v/>
      </c>
      <c r="I51" s="22">
        <f>IF(H51&gt;0,G51/H51,0)</f>
        <v/>
      </c>
    </row>
    <row r="52">
      <c r="A52" s="23" t="inlineStr">
        <is>
          <t>2026-04-12</t>
        </is>
      </c>
      <c r="B52" s="24" t="n">
        <v>150</v>
      </c>
      <c r="C52" s="24" t="n">
        <v>0</v>
      </c>
      <c r="D52" s="25">
        <f>D51+B52</f>
        <v/>
      </c>
      <c r="E52" s="25">
        <f>E51+C52</f>
        <v/>
      </c>
      <c r="F52" s="25">
        <f>D52/160+E52</f>
        <v/>
      </c>
      <c r="G52" s="25">
        <f>MAX((80-F52)*160,0)</f>
        <v/>
      </c>
      <c r="H52" s="25">
        <f>IF(21&gt;=21,SUMPRODUCT(B32:B52+C32:C52*160)/21,0)</f>
        <v/>
      </c>
      <c r="I52" s="25">
        <f>IF(H52&gt;0,G52/H52,0)</f>
        <v/>
      </c>
    </row>
    <row r="53">
      <c r="A53" s="20" t="inlineStr">
        <is>
          <t>2026-04-13</t>
        </is>
      </c>
      <c r="B53" s="21" t="n">
        <v>1315</v>
      </c>
      <c r="C53" s="21" t="n">
        <v>0</v>
      </c>
      <c r="D53" s="22">
        <f>D52+B53</f>
        <v/>
      </c>
      <c r="E53" s="22">
        <f>E52+C53</f>
        <v/>
      </c>
      <c r="F53" s="22">
        <f>D53/160+E53</f>
        <v/>
      </c>
      <c r="G53" s="22">
        <f>MAX((80-F53)*160,0)</f>
        <v/>
      </c>
      <c r="H53" s="22">
        <f>IF(21&gt;=21,SUMPRODUCT(B33:B53+C33:C53*160)/21,0)</f>
        <v/>
      </c>
      <c r="I53" s="22">
        <f>IF(H53&gt;0,G53/H53,0)</f>
        <v/>
      </c>
    </row>
    <row r="54">
      <c r="A54" s="23" t="inlineStr">
        <is>
          <t>2026-04-14</t>
        </is>
      </c>
      <c r="B54" s="24" t="n">
        <v>150</v>
      </c>
      <c r="C54" s="24" t="n">
        <v>0</v>
      </c>
      <c r="D54" s="25" t="n">
        <v>103</v>
      </c>
      <c r="E54" s="25" t="n">
        <v>74</v>
      </c>
      <c r="F54" s="25">
        <f>D54/160+E54</f>
        <v/>
      </c>
      <c r="G54" s="25">
        <f>MAX((80-F54)*160,0)</f>
        <v/>
      </c>
      <c r="H54" s="25">
        <f>IF(21&gt;=21,SUMPRODUCT(B34:B54+C34:C54*160)/21,0)</f>
        <v/>
      </c>
      <c r="I54" s="25">
        <f>IF(H54&gt;0,G54/H54,0)</f>
        <v/>
      </c>
    </row>
    <row r="55">
      <c r="A55" s="26" t="inlineStr">
        <is>
          <t>2026-04-15</t>
        </is>
      </c>
      <c r="B55" s="27" t="n">
        <v>250</v>
      </c>
      <c r="C55" s="27" t="n">
        <v>0</v>
      </c>
      <c r="D55" s="28">
        <f>D54+B55</f>
        <v/>
      </c>
      <c r="E55" s="28">
        <f>E54+C55</f>
        <v/>
      </c>
      <c r="F55" s="28">
        <f>D55/160+E55</f>
        <v/>
      </c>
      <c r="G55" s="28">
        <f>MAX((80-F55)*160,0)</f>
        <v/>
      </c>
      <c r="H55" s="28">
        <f>IF(21&gt;=21,SUMPRODUCT(B35:B55+C35:C55*160)/21,0)</f>
        <v/>
      </c>
      <c r="I55" s="28">
        <f>IF(H55&gt;0,G55/H55,0)</f>
        <v/>
      </c>
    </row>
    <row r="56">
      <c r="A56" s="29" t="inlineStr">
        <is>
          <t>2026-04-16</t>
        </is>
      </c>
      <c r="B56" s="30" t="n">
        <v>150</v>
      </c>
      <c r="C56" s="30" t="n">
        <v>0</v>
      </c>
      <c r="D56" s="31">
        <f>D55+B56</f>
        <v/>
      </c>
      <c r="E56" s="31">
        <f>E55+C56</f>
        <v/>
      </c>
      <c r="F56" s="31">
        <f>D56/160+E56</f>
        <v/>
      </c>
      <c r="G56" s="31">
        <f>MAX((80-F56)*160,0)</f>
        <v/>
      </c>
      <c r="H56" s="31">
        <f>IF(21&gt;=21,SUMPRODUCT(B36:B56+C36:C56*160)/21,0)</f>
        <v/>
      </c>
      <c r="I56" s="31">
        <f>IF(H56&gt;0,G56/H56,0)</f>
        <v/>
      </c>
    </row>
    <row r="57">
      <c r="A57" s="26" t="inlineStr">
        <is>
          <t>2026-04-17</t>
        </is>
      </c>
      <c r="B57" s="27" t="n">
        <v>150</v>
      </c>
      <c r="C57" s="27" t="n">
        <v>0</v>
      </c>
      <c r="D57" s="28">
        <f>D56+B57</f>
        <v/>
      </c>
      <c r="E57" s="28">
        <f>E56+C57</f>
        <v/>
      </c>
      <c r="F57" s="28">
        <f>D57/160+E57</f>
        <v/>
      </c>
      <c r="G57" s="28">
        <f>MAX((80-F57)*160,0)</f>
        <v/>
      </c>
      <c r="H57" s="28">
        <f>IF(21&gt;=21,SUMPRODUCT(B37:B57+C37:C57*160)/21,0)</f>
        <v/>
      </c>
      <c r="I57" s="28">
        <f>IF(H57&gt;0,G57/H57,0)</f>
        <v/>
      </c>
    </row>
    <row r="58">
      <c r="A58" s="29" t="inlineStr">
        <is>
          <t>2026-04-18</t>
        </is>
      </c>
      <c r="B58" s="30" t="n">
        <v>150</v>
      </c>
      <c r="C58" s="30" t="n">
        <v>0</v>
      </c>
      <c r="D58" s="31">
        <f>D57+B58</f>
        <v/>
      </c>
      <c r="E58" s="31">
        <f>E57+C58</f>
        <v/>
      </c>
      <c r="F58" s="31">
        <f>D58/160+E58</f>
        <v/>
      </c>
      <c r="G58" s="31">
        <f>MAX((80-F58)*160,0)</f>
        <v/>
      </c>
      <c r="H58" s="31">
        <f>IF(21&gt;=21,SUMPRODUCT(B38:B58+C38:C58*160)/21,0)</f>
        <v/>
      </c>
      <c r="I58" s="31">
        <f>IF(H58&gt;0,G58/H58,0)</f>
        <v/>
      </c>
    </row>
    <row r="59">
      <c r="A59" s="26" t="inlineStr">
        <is>
          <t>2026-04-19</t>
        </is>
      </c>
      <c r="B59" s="27" t="n">
        <v>170</v>
      </c>
      <c r="C59" s="27" t="n">
        <v>0</v>
      </c>
      <c r="D59" s="28">
        <f>D58+B59</f>
        <v/>
      </c>
      <c r="E59" s="28">
        <f>E58+C59</f>
        <v/>
      </c>
      <c r="F59" s="28">
        <f>D59/160+E59</f>
        <v/>
      </c>
      <c r="G59" s="28">
        <f>MAX((80-F59)*160,0)</f>
        <v/>
      </c>
      <c r="H59" s="28">
        <f>IF(21&gt;=21,SUMPRODUCT(B39:B59+C39:C59*160)/21,0)</f>
        <v/>
      </c>
      <c r="I59" s="28">
        <f>IF(H59&gt;0,G59/H59,0)</f>
        <v/>
      </c>
    </row>
    <row r="60">
      <c r="A60" s="29" t="inlineStr">
        <is>
          <t>2026-04-20</t>
        </is>
      </c>
      <c r="B60" s="30" t="n">
        <v>630</v>
      </c>
      <c r="C60" s="30" t="n">
        <v>0</v>
      </c>
      <c r="D60" s="31">
        <f>D59+B60</f>
        <v/>
      </c>
      <c r="E60" s="31">
        <f>E59+C60</f>
        <v/>
      </c>
      <c r="F60" s="31">
        <f>D60/160+E60</f>
        <v/>
      </c>
      <c r="G60" s="31">
        <f>MAX((80-F60)*160,0)</f>
        <v/>
      </c>
      <c r="H60" s="31">
        <f>IF(21&gt;=21,SUMPRODUCT(B40:B60+C40:C60*160)/21,0)</f>
        <v/>
      </c>
      <c r="I60" s="31">
        <f>IF(H60&gt;0,G60/H60,0)</f>
        <v/>
      </c>
    </row>
    <row r="61">
      <c r="A61" s="26" t="inlineStr">
        <is>
          <t>2026-04-21</t>
        </is>
      </c>
      <c r="B61" s="27" t="n">
        <v>150</v>
      </c>
      <c r="C61" s="27" t="n">
        <v>0</v>
      </c>
      <c r="D61" s="28">
        <f>D60+B61</f>
        <v/>
      </c>
      <c r="E61" s="28">
        <f>E60+C61</f>
        <v/>
      </c>
      <c r="F61" s="28">
        <f>D61/160+E61</f>
        <v/>
      </c>
      <c r="G61" s="28">
        <f>MAX((80-F61)*160,0)</f>
        <v/>
      </c>
      <c r="H61" s="28">
        <f>IF(21&gt;=21,SUMPRODUCT(B41:B61+C41:C61*160)/21,0)</f>
        <v/>
      </c>
      <c r="I61" s="28">
        <f>IF(H61&gt;0,G61/H61,0)</f>
        <v/>
      </c>
    </row>
    <row r="62">
      <c r="A62" s="29" t="inlineStr">
        <is>
          <t>2026-04-22</t>
        </is>
      </c>
      <c r="B62" s="30" t="n">
        <v>640</v>
      </c>
      <c r="C62" s="30" t="n">
        <v>0</v>
      </c>
      <c r="D62" s="31">
        <f>D61+B62</f>
        <v/>
      </c>
      <c r="E62" s="31">
        <f>E61+C62</f>
        <v/>
      </c>
      <c r="F62" s="31">
        <f>D62/160+E62</f>
        <v/>
      </c>
      <c r="G62" s="31">
        <f>MAX((80-F62)*160,0)</f>
        <v/>
      </c>
      <c r="H62" s="31">
        <f>IF(21&gt;=21,SUMPRODUCT(B42:B62+C42:C62*160)/21,0)</f>
        <v/>
      </c>
      <c r="I62" s="31">
        <f>IF(H62&gt;0,G62/H62,0)</f>
        <v/>
      </c>
    </row>
    <row r="63">
      <c r="A63" s="26" t="inlineStr">
        <is>
          <t>2026-04-23</t>
        </is>
      </c>
      <c r="B63" s="27" t="n">
        <v>230</v>
      </c>
      <c r="C63" s="27" t="n">
        <v>0</v>
      </c>
      <c r="D63" s="28">
        <f>D62+B63</f>
        <v/>
      </c>
      <c r="E63" s="28">
        <f>E62+C63</f>
        <v/>
      </c>
      <c r="F63" s="28">
        <f>D63/160+E63</f>
        <v/>
      </c>
      <c r="G63" s="28">
        <f>MAX((80-F63)*160,0)</f>
        <v/>
      </c>
      <c r="H63" s="28">
        <f>IF(21&gt;=21,SUMPRODUCT(B43:B63+C43:C63*160)/21,0)</f>
        <v/>
      </c>
      <c r="I63" s="28">
        <f>IF(H63&gt;0,G63/H63,0)</f>
        <v/>
      </c>
    </row>
    <row r="64">
      <c r="A64" s="29" t="inlineStr">
        <is>
          <t>2026-04-24</t>
        </is>
      </c>
      <c r="B64" s="30" t="n">
        <v>767</v>
      </c>
      <c r="C64" s="30" t="n">
        <v>0</v>
      </c>
      <c r="D64" s="31">
        <f>D63+B64</f>
        <v/>
      </c>
      <c r="E64" s="31">
        <f>E63+C64</f>
        <v/>
      </c>
      <c r="F64" s="31">
        <f>D64/160+E64</f>
        <v/>
      </c>
      <c r="G64" s="31">
        <f>MAX((80-F64)*160,0)</f>
        <v/>
      </c>
      <c r="H64" s="31">
        <f>IF(21&gt;=21,SUMPRODUCT(B44:B64+C44:C64*160)/21,0)</f>
        <v/>
      </c>
      <c r="I64" s="31">
        <f>IF(H64&gt;0,G64/H64,0)</f>
        <v/>
      </c>
    </row>
    <row r="65">
      <c r="A65" s="26" t="inlineStr">
        <is>
          <t>2026-04-25</t>
        </is>
      </c>
      <c r="B65" s="27" t="n">
        <v>1428</v>
      </c>
      <c r="C65" s="27" t="n">
        <v>0</v>
      </c>
      <c r="D65" s="28">
        <f>D64+B65</f>
        <v/>
      </c>
      <c r="E65" s="28">
        <f>E64+C65</f>
        <v/>
      </c>
      <c r="F65" s="28">
        <f>D65/160+E65</f>
        <v/>
      </c>
      <c r="G65" s="28">
        <f>MAX((80-F65)*160,0)</f>
        <v/>
      </c>
      <c r="H65" s="28">
        <f>IF(21&gt;=21,SUMPRODUCT(B45:B65+C45:C65*160)/21,0)</f>
        <v/>
      </c>
      <c r="I65" s="28">
        <f>IF(H65&gt;0,G65/H65,0)</f>
        <v/>
      </c>
    </row>
    <row r="66">
      <c r="A66" s="29" t="inlineStr">
        <is>
          <t>2026-04-26</t>
        </is>
      </c>
      <c r="B66" s="30" t="n">
        <v>1930</v>
      </c>
      <c r="C66" s="30" t="n">
        <v>0</v>
      </c>
      <c r="D66" s="31">
        <f>D65+B66</f>
        <v/>
      </c>
      <c r="E66" s="31">
        <f>E65+C66</f>
        <v/>
      </c>
      <c r="F66" s="31">
        <f>D66/160+E66</f>
        <v/>
      </c>
      <c r="G66" s="31">
        <f>MAX((80-F66)*160,0)</f>
        <v/>
      </c>
      <c r="H66" s="31">
        <f>IF(21&gt;=21,SUMPRODUCT(B46:B66+C46:C66*160)/21,0)</f>
        <v/>
      </c>
      <c r="I66" s="31">
        <f>IF(H66&gt;0,G66/H66,0)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2026-03-22T04:05:24Z</dcterms:created>
  <dcterms:modified xsi:type="dcterms:W3CDTF">2026-04-26T18:02:52Z</dcterms:modified>
  <cp:lastModifiedBy>Rianna Santra</cp:lastModifiedBy>
</cp:coreProperties>
</file>