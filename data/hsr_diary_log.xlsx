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rsantra/Documents/discord_things/website/data/"/>
    </mc:Choice>
  </mc:AlternateContent>
  <xr:revisionPtr revIDLastSave="0" documentId="13_ncr:1_{6E19B3FB-9E22-B540-BC75-72690B335B27}" xr6:coauthVersionLast="47" xr6:coauthVersionMax="47" xr10:uidLastSave="{00000000-0000-0000-0000-000000000000}"/>
  <bookViews>
    <workbookView xWindow="8160" yWindow="5940" windowWidth="24220" windowHeight="10320" xr2:uid="{00000000-000D-0000-FFFF-FFFF00000000}"/>
  </bookViews>
  <sheets>
    <sheet name="Diary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5" i="1" l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D42" i="1"/>
  <c r="D43" i="1" s="1"/>
  <c r="H41" i="1"/>
  <c r="I41" i="1" s="1"/>
  <c r="E41" i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5" i="1" s="1"/>
  <c r="D41" i="1"/>
  <c r="F41" i="1" s="1"/>
  <c r="G41" i="1" s="1"/>
  <c r="H40" i="1"/>
  <c r="F40" i="1"/>
  <c r="G40" i="1" s="1"/>
  <c r="H39" i="1"/>
  <c r="H38" i="1"/>
  <c r="H37" i="1"/>
  <c r="H36" i="1"/>
  <c r="H35" i="1"/>
  <c r="H34" i="1"/>
  <c r="H33" i="1"/>
  <c r="H32" i="1"/>
  <c r="H31" i="1"/>
  <c r="H30" i="1" a="1"/>
  <c r="H30" i="1" s="1"/>
  <c r="H29" i="1" a="1"/>
  <c r="H29" i="1" s="1"/>
  <c r="H28" i="1" a="1"/>
  <c r="H28" i="1" s="1"/>
  <c r="H27" i="1" a="1"/>
  <c r="H27" i="1" s="1"/>
  <c r="H26" i="1" a="1"/>
  <c r="H26" i="1" s="1"/>
  <c r="H25" i="1" a="1"/>
  <c r="H25" i="1" s="1"/>
  <c r="D25" i="1"/>
  <c r="D26" i="1" s="1"/>
  <c r="H24" i="1" a="1"/>
  <c r="H24" i="1" s="1"/>
  <c r="E24" i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D24" i="1"/>
  <c r="F24" i="1" s="1"/>
  <c r="G24" i="1" s="1"/>
  <c r="H23" i="1" a="1"/>
  <c r="H23" i="1" s="1"/>
  <c r="I23" i="1" s="1"/>
  <c r="G23" i="1"/>
  <c r="F23" i="1"/>
  <c r="H22" i="1" a="1"/>
  <c r="H22" i="1"/>
  <c r="H21" i="1" a="1"/>
  <c r="H21" i="1" s="1"/>
  <c r="I21" i="1" s="1"/>
  <c r="H20" i="1" a="1"/>
  <c r="H20" i="1" s="1"/>
  <c r="I20" i="1" s="1"/>
  <c r="H19" i="1" a="1"/>
  <c r="H19" i="1" s="1"/>
  <c r="I19" i="1" s="1"/>
  <c r="H18" i="1" a="1"/>
  <c r="H18" i="1"/>
  <c r="I18" i="1" s="1"/>
  <c r="H17" i="1" a="1"/>
  <c r="H17" i="1"/>
  <c r="I17" i="1" s="1"/>
  <c r="H16" i="1" a="1"/>
  <c r="H16" i="1" s="1"/>
  <c r="I16" i="1" s="1"/>
  <c r="H15" i="1" a="1"/>
  <c r="H15" i="1" s="1"/>
  <c r="I15" i="1" s="1"/>
  <c r="H14" i="1" a="1"/>
  <c r="H14" i="1" s="1"/>
  <c r="I14" i="1" s="1"/>
  <c r="H13" i="1" a="1"/>
  <c r="H13" i="1" s="1"/>
  <c r="I13" i="1" s="1"/>
  <c r="H12" i="1" a="1"/>
  <c r="H12" i="1"/>
  <c r="I12" i="1" s="1"/>
  <c r="H11" i="1" a="1"/>
  <c r="H11" i="1"/>
  <c r="I11" i="1" s="1"/>
  <c r="H10" i="1" a="1"/>
  <c r="H10" i="1"/>
  <c r="I10" i="1" s="1"/>
  <c r="H9" i="1" a="1"/>
  <c r="H9" i="1" s="1"/>
  <c r="I9" i="1" s="1"/>
  <c r="H8" i="1" a="1"/>
  <c r="H8" i="1" s="1"/>
  <c r="I8" i="1" s="1"/>
  <c r="H7" i="1" a="1"/>
  <c r="H7" i="1" s="1"/>
  <c r="I7" i="1" s="1"/>
  <c r="H6" i="1" a="1"/>
  <c r="H6" i="1" s="1"/>
  <c r="I6" i="1" s="1"/>
  <c r="H5" i="1" a="1"/>
  <c r="H5" i="1"/>
  <c r="I5" i="1" s="1"/>
  <c r="H4" i="1" a="1"/>
  <c r="H4" i="1" s="1"/>
  <c r="I4" i="1" s="1"/>
  <c r="H3" i="1" a="1"/>
  <c r="H3" i="1"/>
  <c r="I3" i="1" s="1"/>
  <c r="F3" i="1"/>
  <c r="G3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D3" i="1"/>
  <c r="D4" i="1" s="1"/>
  <c r="I2" i="1"/>
  <c r="H2" i="1"/>
  <c r="F2" i="1"/>
  <c r="G2" i="1" s="1"/>
  <c r="D5" i="1" l="1"/>
  <c r="F4" i="1"/>
  <c r="G4" i="1" s="1"/>
  <c r="F26" i="1"/>
  <c r="G26" i="1" s="1"/>
  <c r="I26" i="1" s="1"/>
  <c r="D27" i="1"/>
  <c r="I42" i="1"/>
  <c r="I40" i="1"/>
  <c r="I24" i="1"/>
  <c r="D44" i="1"/>
  <c r="F43" i="1"/>
  <c r="G43" i="1" s="1"/>
  <c r="I43" i="1" s="1"/>
  <c r="F42" i="1"/>
  <c r="G42" i="1" s="1"/>
  <c r="F25" i="1"/>
  <c r="G25" i="1" s="1"/>
  <c r="I25" i="1" s="1"/>
  <c r="F44" i="1" l="1"/>
  <c r="G44" i="1" s="1"/>
  <c r="I44" i="1" s="1"/>
  <c r="D45" i="1"/>
  <c r="F5" i="1"/>
  <c r="G5" i="1" s="1"/>
  <c r="D6" i="1"/>
  <c r="D28" i="1"/>
  <c r="F27" i="1"/>
  <c r="G27" i="1" s="1"/>
  <c r="I27" i="1" s="1"/>
  <c r="F28" i="1" l="1"/>
  <c r="G28" i="1" s="1"/>
  <c r="I28" i="1" s="1"/>
  <c r="D29" i="1"/>
  <c r="D7" i="1"/>
  <c r="F6" i="1"/>
  <c r="G6" i="1" s="1"/>
  <c r="D46" i="1"/>
  <c r="F45" i="1"/>
  <c r="G45" i="1" s="1"/>
  <c r="I45" i="1" s="1"/>
  <c r="D47" i="1" l="1"/>
  <c r="F46" i="1"/>
  <c r="G46" i="1" s="1"/>
  <c r="I46" i="1" s="1"/>
  <c r="D8" i="1"/>
  <c r="F7" i="1"/>
  <c r="G7" i="1" s="1"/>
  <c r="D30" i="1"/>
  <c r="F29" i="1"/>
  <c r="G29" i="1" s="1"/>
  <c r="I29" i="1" s="1"/>
  <c r="D31" i="1" l="1"/>
  <c r="F30" i="1"/>
  <c r="G30" i="1" s="1"/>
  <c r="I30" i="1" s="1"/>
  <c r="D9" i="1"/>
  <c r="F8" i="1"/>
  <c r="G8" i="1" s="1"/>
  <c r="F47" i="1"/>
  <c r="G47" i="1" s="1"/>
  <c r="I47" i="1" s="1"/>
  <c r="D48" i="1"/>
  <c r="D49" i="1" l="1"/>
  <c r="F48" i="1"/>
  <c r="G48" i="1" s="1"/>
  <c r="I48" i="1" s="1"/>
  <c r="D10" i="1"/>
  <c r="F9" i="1"/>
  <c r="G9" i="1" s="1"/>
  <c r="F31" i="1"/>
  <c r="G31" i="1" s="1"/>
  <c r="I31" i="1" s="1"/>
  <c r="D32" i="1"/>
  <c r="D33" i="1" l="1"/>
  <c r="F32" i="1"/>
  <c r="G32" i="1" s="1"/>
  <c r="I32" i="1" s="1"/>
  <c r="F10" i="1"/>
  <c r="G10" i="1" s="1"/>
  <c r="D11" i="1"/>
  <c r="F49" i="1"/>
  <c r="G49" i="1" s="1"/>
  <c r="I49" i="1" s="1"/>
  <c r="D50" i="1"/>
  <c r="F50" i="1" l="1"/>
  <c r="G50" i="1" s="1"/>
  <c r="I50" i="1" s="1"/>
  <c r="D51" i="1"/>
  <c r="D12" i="1"/>
  <c r="F11" i="1"/>
  <c r="G11" i="1" s="1"/>
  <c r="D34" i="1"/>
  <c r="F33" i="1"/>
  <c r="G33" i="1" s="1"/>
  <c r="I33" i="1" s="1"/>
  <c r="D35" i="1" l="1"/>
  <c r="F34" i="1"/>
  <c r="G34" i="1" s="1"/>
  <c r="I34" i="1" s="1"/>
  <c r="F12" i="1"/>
  <c r="G12" i="1" s="1"/>
  <c r="D13" i="1"/>
  <c r="D52" i="1"/>
  <c r="F51" i="1"/>
  <c r="G51" i="1" s="1"/>
  <c r="I51" i="1" s="1"/>
  <c r="F52" i="1" l="1"/>
  <c r="G52" i="1" s="1"/>
  <c r="I52" i="1" s="1"/>
  <c r="D53" i="1"/>
  <c r="D14" i="1"/>
  <c r="F13" i="1"/>
  <c r="G13" i="1" s="1"/>
  <c r="D36" i="1"/>
  <c r="F35" i="1"/>
  <c r="G35" i="1" s="1"/>
  <c r="I35" i="1" s="1"/>
  <c r="F36" i="1" l="1"/>
  <c r="G36" i="1" s="1"/>
  <c r="I36" i="1" s="1"/>
  <c r="D37" i="1"/>
  <c r="D15" i="1"/>
  <c r="F14" i="1"/>
  <c r="G14" i="1" s="1"/>
  <c r="F53" i="1"/>
  <c r="G53" i="1" s="1"/>
  <c r="I53" i="1" s="1"/>
  <c r="D55" i="1" l="1"/>
  <c r="F55" i="1" s="1"/>
  <c r="G55" i="1" s="1"/>
  <c r="I55" i="1" s="1"/>
  <c r="F54" i="1"/>
  <c r="G54" i="1" s="1"/>
  <c r="I54" i="1" s="1"/>
  <c r="D16" i="1"/>
  <c r="F15" i="1"/>
  <c r="G15" i="1" s="1"/>
  <c r="D38" i="1"/>
  <c r="F37" i="1"/>
  <c r="G37" i="1" s="1"/>
  <c r="I37" i="1" s="1"/>
  <c r="D39" i="1" l="1"/>
  <c r="F39" i="1" s="1"/>
  <c r="G39" i="1" s="1"/>
  <c r="I39" i="1" s="1"/>
  <c r="F38" i="1"/>
  <c r="G38" i="1" s="1"/>
  <c r="I38" i="1" s="1"/>
  <c r="F16" i="1"/>
  <c r="G16" i="1" s="1"/>
  <c r="D17" i="1"/>
  <c r="F17" i="1" l="1"/>
  <c r="G17" i="1" s="1"/>
  <c r="D18" i="1"/>
  <c r="D19" i="1" l="1"/>
  <c r="F18" i="1"/>
  <c r="G18" i="1" s="1"/>
  <c r="D20" i="1" l="1"/>
  <c r="F19" i="1"/>
  <c r="G19" i="1" s="1"/>
  <c r="D21" i="1" l="1"/>
  <c r="F20" i="1"/>
  <c r="G20" i="1" s="1"/>
  <c r="D22" i="1" l="1"/>
  <c r="F22" i="1" s="1"/>
  <c r="G22" i="1" s="1"/>
  <c r="I22" i="1" s="1"/>
  <c r="F21" i="1"/>
  <c r="G21" i="1" s="1"/>
</calcChain>
</file>

<file path=xl/sharedStrings.xml><?xml version="1.0" encoding="utf-8"?>
<sst xmlns="http://schemas.openxmlformats.org/spreadsheetml/2006/main" count="34" uniqueCount="34">
  <si>
    <t>Date</t>
  </si>
  <si>
    <t>Net Currency Gain</t>
  </si>
  <si>
    <t>Pulls Net Gain</t>
  </si>
  <si>
    <t>Stellar Jades</t>
  </si>
  <si>
    <t>Pulls</t>
  </si>
  <si>
    <t>Total Pulls</t>
  </si>
  <si>
    <t>Currency Needed for 5 Star</t>
  </si>
  <si>
    <t>3-Week Avg Gain</t>
  </si>
  <si>
    <t>Estimated Days Til 5 Star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</si>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</sst>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</font>
    <font>
      <sz val="11"/>
      <color rgb="FF0000FF"/>
      <name val="Arial"/>
    </font>
    <font>
      <sz val="11"/>
      <color rgb="FF000000"/>
      <name val="Arial"/>
    </font>
    <font>
      <sz val="11"/>
      <color rgb="FF0000FF"/>
      <name val="Arial"/>
    </font>
    <font>
      <sz val="11"/>
      <color rgb="FF000000"/>
      <name val="Arial"/>
    </font>
    <font>
      <sz val="11"/>
      <color rgb="FF0000FF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/>
    </xf>
    <xf numFmtId="0" fontId="3" fillId="3" borderId="1" xfId="0" applyFont="1" applyFill="1" applyBorder="1"/>
    <xf numFmtId="2" fontId="2" fillId="3" borderId="1" xfId="0" applyNumberFormat="1" applyFont="1" applyFill="1" applyBorder="1"/>
    <xf numFmtId="14" fontId="0" fillId="3" borderId="1" xfId="0" applyNumberFormat="1" applyFill="1" applyBorder="1"/>
    <xf numFmtId="0" fontId="5" fillId="0" borderId="2" xfId="0" applyFont="1" applyBorder="1"/>
    <xf numFmtId="2" fontId="4" fillId="0" borderId="2" xfId="0" applyNumberFormat="1" applyFont="1" applyBorder="1"/>
    <xf numFmtId="14" fontId="0" fillId="0" borderId="2" xfId="0" applyNumberFormat="1" applyBorder="1"/>
    <xf numFmtId="0" fontId="0" fillId="0" borderId="3" xfId="0" applyBorder="1"/>
    <xf numFmtId="0" fontId="7" fillId="0" borderId="3" xfId="0" applyFont="1" applyBorder="1"/>
    <xf numFmtId="2" fontId="6" fillId="0" borderId="3" xfId="0" applyNumberFormat="1" applyFont="1" applyBorder="1"/>
    <xf numFmtId="0" fontId="0" fillId="4" borderId="3" xfId="0" applyFill="1" applyBorder="1"/>
    <xf numFmtId="0" fontId="7" fillId="4" borderId="3" xfId="0" applyFont="1" applyFill="1" applyBorder="1"/>
    <xf numFmtId="2" fontId="6" fillId="4" borderId="3" xfId="0" applyNumberFormat="1" applyFont="1" applyFill="1" applyBorder="1"/>
    <xf numFmtId="0" fontId="0" fillId="0" borderId="4" xfId="0" applyBorder="1"/>
    <xf numFmtId="0" fontId="9" fillId="0" borderId="4" xfId="0" applyFont="1" applyBorder="1"/>
    <xf numFmtId="2" fontId="8" fillId="0" borderId="4" xfId="0" applyNumberFormat="1" applyFont="1" applyBorder="1"/>
    <xf numFmtId="0" fontId="0" fillId="5" borderId="4" xfId="0" applyFill="1" applyBorder="1"/>
    <xf numFmtId="0" fontId="9" fillId="5" borderId="4" xfId="0" applyFont="1" applyFill="1" applyBorder="1"/>
    <xf numFmtId="2" fontId="8" fillId="5" borderId="4" xfId="0" applyNumberFormat="1" applyFont="1" applyFill="1" applyBorder="1"/>
    <xf numFmtId="0" fontId="0" fillId="0" borderId="5" xfId="0" applyBorder="1"/>
    <xf numFmtId="0" fontId="11" fillId="0" borderId="5" xfId="0" applyFont="1" applyBorder="1"/>
    <xf numFmtId="2" fontId="10" fillId="0" borderId="5" xfId="0" applyNumberFormat="1" applyFont="1" applyBorder="1"/>
    <xf numFmtId="0" fontId="0" fillId="6" borderId="5" xfId="0" applyFill="1" applyBorder="1"/>
    <xf numFmtId="0" fontId="11" fillId="6" borderId="5" xfId="0" applyFont="1" applyFill="1" applyBorder="1"/>
    <xf numFmtId="2" fontId="10" fillId="6" borderId="5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16" customWidth="1"/>
    <col min="4" max="4" width="18" customWidth="1"/>
    <col min="5" max="5" width="8" customWidth="1"/>
    <col min="6" max="6" width="14" customWidth="1"/>
    <col min="7" max="7" width="28" customWidth="1"/>
    <col min="8" max="8" width="18" customWidth="1"/>
    <col min="9" max="9" width="26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s="4">
        <v>46074</v>
      </c>
      <c r="B2" s="2">
        <v>150</v>
      </c>
      <c r="C2" s="2">
        <v>0</v>
      </c>
      <c r="D2" s="3">
        <v>271</v>
      </c>
      <c r="E2" s="3">
        <v>210</v>
      </c>
      <c r="F2" s="3">
        <f t="shared" ref="F2:F33" si="0">D2/160+E2</f>
        <v>211.69374999999999</v>
      </c>
      <c r="G2" s="3">
        <f t="shared" ref="G2:G33" si="1">MAX((80-F2)*160,0)</f>
        <v>0</v>
      </c>
      <c r="H2" s="3">
        <f>IF(1&gt;=21,SUMPRODUCT(B2:B2+C2:C2*160)/21,0)</f>
        <v>0</v>
      </c>
      <c r="I2" s="3">
        <f t="shared" ref="I2:I33" si="2">IF(H2&gt;0,G2/H2,0)</f>
        <v>0</v>
      </c>
    </row>
    <row r="3" spans="1:9" x14ac:dyDescent="0.2">
      <c r="A3" s="7">
        <v>46075</v>
      </c>
      <c r="B3" s="5">
        <v>150</v>
      </c>
      <c r="C3" s="5">
        <v>0</v>
      </c>
      <c r="D3" s="6">
        <f t="shared" ref="D3:D22" si="3">D2+B3</f>
        <v>421</v>
      </c>
      <c r="E3" s="6">
        <f t="shared" ref="E3:E22" si="4">E2+C3</f>
        <v>210</v>
      </c>
      <c r="F3" s="6">
        <f t="shared" si="0"/>
        <v>212.63124999999999</v>
      </c>
      <c r="G3" s="6">
        <f t="shared" si="1"/>
        <v>0</v>
      </c>
      <c r="H3" s="6">
        <f t="array" ref="H3">IF(2&gt;=21,SUMPRODUCT(B2:B3+C2:C3*160)/21,0)</f>
        <v>0</v>
      </c>
      <c r="I3" s="6">
        <f t="shared" si="2"/>
        <v>0</v>
      </c>
    </row>
    <row r="4" spans="1:9" x14ac:dyDescent="0.2">
      <c r="A4" s="4">
        <v>46076</v>
      </c>
      <c r="B4" s="2">
        <v>150</v>
      </c>
      <c r="C4" s="2">
        <v>0</v>
      </c>
      <c r="D4" s="3">
        <f t="shared" si="3"/>
        <v>571</v>
      </c>
      <c r="E4" s="3">
        <f t="shared" si="4"/>
        <v>210</v>
      </c>
      <c r="F4" s="3">
        <f t="shared" si="0"/>
        <v>213.56874999999999</v>
      </c>
      <c r="G4" s="3">
        <f t="shared" si="1"/>
        <v>0</v>
      </c>
      <c r="H4" s="3">
        <f t="array" ref="H4">IF(3&gt;=21,SUMPRODUCT(B2:B4+C2:C4*160)/21,0)</f>
        <v>0</v>
      </c>
      <c r="I4" s="3">
        <f t="shared" si="2"/>
        <v>0</v>
      </c>
    </row>
    <row r="5" spans="1:9" x14ac:dyDescent="0.2">
      <c r="A5" s="7">
        <v>46077</v>
      </c>
      <c r="B5" s="5">
        <v>150</v>
      </c>
      <c r="C5" s="5">
        <v>0</v>
      </c>
      <c r="D5" s="6">
        <f t="shared" si="3"/>
        <v>721</v>
      </c>
      <c r="E5" s="6">
        <f t="shared" si="4"/>
        <v>210</v>
      </c>
      <c r="F5" s="6">
        <f t="shared" si="0"/>
        <v>214.50624999999999</v>
      </c>
      <c r="G5" s="6">
        <f t="shared" si="1"/>
        <v>0</v>
      </c>
      <c r="H5" s="6">
        <f t="array" ref="H5">IF(4&gt;=21,SUMPRODUCT(B2:B5+C2:C5*160)/21,0)</f>
        <v>0</v>
      </c>
      <c r="I5" s="6">
        <f t="shared" si="2"/>
        <v>0</v>
      </c>
    </row>
    <row r="6" spans="1:9" x14ac:dyDescent="0.2">
      <c r="A6" s="4">
        <v>46078</v>
      </c>
      <c r="B6" s="2">
        <v>150</v>
      </c>
      <c r="C6" s="2">
        <v>0</v>
      </c>
      <c r="D6" s="3">
        <f t="shared" si="3"/>
        <v>871</v>
      </c>
      <c r="E6" s="3">
        <f t="shared" si="4"/>
        <v>210</v>
      </c>
      <c r="F6" s="3">
        <f t="shared" si="0"/>
        <v>215.44374999999999</v>
      </c>
      <c r="G6" s="3">
        <f t="shared" si="1"/>
        <v>0</v>
      </c>
      <c r="H6" s="3">
        <f t="array" ref="H6">IF(5&gt;=21,SUMPRODUCT(B2:B6+C2:C6*160)/21,0)</f>
        <v>0</v>
      </c>
      <c r="I6" s="3">
        <f t="shared" si="2"/>
        <v>0</v>
      </c>
    </row>
    <row r="7" spans="1:9" x14ac:dyDescent="0.2">
      <c r="A7" s="7">
        <v>46079</v>
      </c>
      <c r="B7" s="5">
        <v>150</v>
      </c>
      <c r="C7" s="5">
        <v>0</v>
      </c>
      <c r="D7" s="6">
        <f t="shared" si="3"/>
        <v>1021</v>
      </c>
      <c r="E7" s="6">
        <f t="shared" si="4"/>
        <v>210</v>
      </c>
      <c r="F7" s="6">
        <f t="shared" si="0"/>
        <v>216.38124999999999</v>
      </c>
      <c r="G7" s="6">
        <f t="shared" si="1"/>
        <v>0</v>
      </c>
      <c r="H7" s="6">
        <f t="array" ref="H7">IF(6&gt;=21,SUMPRODUCT(B2:B7+C2:C7*160)/21,0)</f>
        <v>0</v>
      </c>
      <c r="I7" s="6">
        <f t="shared" si="2"/>
        <v>0</v>
      </c>
    </row>
    <row r="8" spans="1:9" x14ac:dyDescent="0.2">
      <c r="A8" s="4">
        <v>46080</v>
      </c>
      <c r="B8" s="2">
        <v>150</v>
      </c>
      <c r="C8" s="2">
        <v>2</v>
      </c>
      <c r="D8" s="3">
        <f t="shared" si="3"/>
        <v>1171</v>
      </c>
      <c r="E8" s="3">
        <f t="shared" si="4"/>
        <v>212</v>
      </c>
      <c r="F8" s="3">
        <f t="shared" si="0"/>
        <v>219.31874999999999</v>
      </c>
      <c r="G8" s="3">
        <f t="shared" si="1"/>
        <v>0</v>
      </c>
      <c r="H8" s="3">
        <f t="array" ref="H8">IF(7&gt;=21,SUMPRODUCT(B2:B8+C2:C8*160)/21,0)</f>
        <v>0</v>
      </c>
      <c r="I8" s="3">
        <f t="shared" si="2"/>
        <v>0</v>
      </c>
    </row>
    <row r="9" spans="1:9" x14ac:dyDescent="0.2">
      <c r="A9" s="7">
        <v>46081</v>
      </c>
      <c r="B9" s="5">
        <v>150</v>
      </c>
      <c r="C9" s="5">
        <v>0</v>
      </c>
      <c r="D9" s="6">
        <f t="shared" si="3"/>
        <v>1321</v>
      </c>
      <c r="E9" s="6">
        <f t="shared" si="4"/>
        <v>212</v>
      </c>
      <c r="F9" s="6">
        <f t="shared" si="0"/>
        <v>220.25624999999999</v>
      </c>
      <c r="G9" s="6">
        <f t="shared" si="1"/>
        <v>0</v>
      </c>
      <c r="H9" s="6">
        <f t="array" ref="H9">IF(8&gt;=21,SUMPRODUCT(B2:B9+C2:C9*160)/21,0)</f>
        <v>0</v>
      </c>
      <c r="I9" s="6">
        <f t="shared" si="2"/>
        <v>0</v>
      </c>
    </row>
    <row r="10" spans="1:9" x14ac:dyDescent="0.2">
      <c r="A10" s="4">
        <v>46082</v>
      </c>
      <c r="B10" s="2">
        <v>150</v>
      </c>
      <c r="C10" s="2">
        <v>10</v>
      </c>
      <c r="D10" s="3">
        <f t="shared" si="3"/>
        <v>1471</v>
      </c>
      <c r="E10" s="3">
        <f t="shared" si="4"/>
        <v>222</v>
      </c>
      <c r="F10" s="3">
        <f t="shared" si="0"/>
        <v>231.19374999999999</v>
      </c>
      <c r="G10" s="3">
        <f t="shared" si="1"/>
        <v>0</v>
      </c>
      <c r="H10" s="3">
        <f t="array" ref="H10">IF(9&gt;=21,SUMPRODUCT(B2:B10+C2:C10*160)/21,0)</f>
        <v>0</v>
      </c>
      <c r="I10" s="3">
        <f t="shared" si="2"/>
        <v>0</v>
      </c>
    </row>
    <row r="11" spans="1:9" x14ac:dyDescent="0.2">
      <c r="A11" s="7">
        <v>46083</v>
      </c>
      <c r="B11" s="5">
        <v>950</v>
      </c>
      <c r="C11" s="5">
        <v>0</v>
      </c>
      <c r="D11" s="6">
        <f t="shared" si="3"/>
        <v>2421</v>
      </c>
      <c r="E11" s="6">
        <f t="shared" si="4"/>
        <v>222</v>
      </c>
      <c r="F11" s="6">
        <f t="shared" si="0"/>
        <v>237.13124999999999</v>
      </c>
      <c r="G11" s="6">
        <f t="shared" si="1"/>
        <v>0</v>
      </c>
      <c r="H11" s="6">
        <f t="array" ref="H11">IF(10&gt;=21,SUMPRODUCT(B2:B11+C2:C11*160)/21,0)</f>
        <v>0</v>
      </c>
      <c r="I11" s="6">
        <f t="shared" si="2"/>
        <v>0</v>
      </c>
    </row>
    <row r="12" spans="1:9" x14ac:dyDescent="0.2">
      <c r="A12" s="4">
        <v>46084</v>
      </c>
      <c r="B12" s="2">
        <v>200</v>
      </c>
      <c r="C12" s="2">
        <v>0</v>
      </c>
      <c r="D12" s="3">
        <f t="shared" si="3"/>
        <v>2621</v>
      </c>
      <c r="E12" s="3">
        <f t="shared" si="4"/>
        <v>222</v>
      </c>
      <c r="F12" s="3">
        <f t="shared" si="0"/>
        <v>238.38124999999999</v>
      </c>
      <c r="G12" s="3">
        <f t="shared" si="1"/>
        <v>0</v>
      </c>
      <c r="H12" s="3">
        <f t="array" ref="H12">IF(11&gt;=21,SUMPRODUCT(B2:B12+C2:C12*160)/21,0)</f>
        <v>0</v>
      </c>
      <c r="I12" s="3">
        <f t="shared" si="2"/>
        <v>0</v>
      </c>
    </row>
    <row r="13" spans="1:9" x14ac:dyDescent="0.2">
      <c r="A13" s="7">
        <v>46085</v>
      </c>
      <c r="B13" s="5">
        <v>230</v>
      </c>
      <c r="C13" s="5">
        <v>0</v>
      </c>
      <c r="D13" s="6">
        <f t="shared" si="3"/>
        <v>2851</v>
      </c>
      <c r="E13" s="6">
        <f t="shared" si="4"/>
        <v>222</v>
      </c>
      <c r="F13" s="6">
        <f t="shared" si="0"/>
        <v>239.81874999999999</v>
      </c>
      <c r="G13" s="6">
        <f t="shared" si="1"/>
        <v>0</v>
      </c>
      <c r="H13" s="6">
        <f t="array" ref="H13">IF(12&gt;=21,SUMPRODUCT(B2:B13+C2:C13*160)/21,0)</f>
        <v>0</v>
      </c>
      <c r="I13" s="6">
        <f t="shared" si="2"/>
        <v>0</v>
      </c>
    </row>
    <row r="14" spans="1:9" x14ac:dyDescent="0.2">
      <c r="A14" s="4">
        <v>46086</v>
      </c>
      <c r="B14" s="2">
        <v>170</v>
      </c>
      <c r="C14" s="2">
        <v>0</v>
      </c>
      <c r="D14" s="3">
        <f t="shared" si="3"/>
        <v>3021</v>
      </c>
      <c r="E14" s="3">
        <f t="shared" si="4"/>
        <v>222</v>
      </c>
      <c r="F14" s="3">
        <f t="shared" si="0"/>
        <v>240.88124999999999</v>
      </c>
      <c r="G14" s="3">
        <f t="shared" si="1"/>
        <v>0</v>
      </c>
      <c r="H14" s="3">
        <f t="array" ref="H14">IF(13&gt;=21,SUMPRODUCT(B2:B14+C2:C14*160)/21,0)</f>
        <v>0</v>
      </c>
      <c r="I14" s="3">
        <f t="shared" si="2"/>
        <v>0</v>
      </c>
    </row>
    <row r="15" spans="1:9" x14ac:dyDescent="0.2">
      <c r="A15" s="7">
        <v>46087</v>
      </c>
      <c r="B15" s="5">
        <v>150</v>
      </c>
      <c r="C15" s="5">
        <v>0</v>
      </c>
      <c r="D15" s="6">
        <f t="shared" si="3"/>
        <v>3171</v>
      </c>
      <c r="E15" s="6">
        <f t="shared" si="4"/>
        <v>222</v>
      </c>
      <c r="F15" s="6">
        <f t="shared" si="0"/>
        <v>241.81874999999999</v>
      </c>
      <c r="G15" s="6">
        <f t="shared" si="1"/>
        <v>0</v>
      </c>
      <c r="H15" s="6">
        <f t="array" ref="H15">IF(14&gt;=21,SUMPRODUCT(B2:B15+C2:C15*160)/21,0)</f>
        <v>0</v>
      </c>
      <c r="I15" s="6">
        <f t="shared" si="2"/>
        <v>0</v>
      </c>
    </row>
    <row r="16" spans="1:9" x14ac:dyDescent="0.2">
      <c r="A16" s="4">
        <v>46088</v>
      </c>
      <c r="B16" s="2">
        <v>150</v>
      </c>
      <c r="C16" s="2">
        <v>0</v>
      </c>
      <c r="D16" s="3">
        <f t="shared" si="3"/>
        <v>3321</v>
      </c>
      <c r="E16" s="3">
        <f t="shared" si="4"/>
        <v>222</v>
      </c>
      <c r="F16" s="3">
        <f t="shared" si="0"/>
        <v>242.75624999999999</v>
      </c>
      <c r="G16" s="3">
        <f t="shared" si="1"/>
        <v>0</v>
      </c>
      <c r="H16" s="3">
        <f t="array" ref="H16">IF(15&gt;=21,SUMPRODUCT(B2:B16+C2:C16*160)/21,0)</f>
        <v>0</v>
      </c>
      <c r="I16" s="3">
        <f t="shared" si="2"/>
        <v>0</v>
      </c>
    </row>
    <row r="17" spans="1:9" x14ac:dyDescent="0.2">
      <c r="A17" s="7">
        <v>46089</v>
      </c>
      <c r="B17" s="5">
        <v>495</v>
      </c>
      <c r="C17" s="5">
        <v>0</v>
      </c>
      <c r="D17" s="6">
        <f t="shared" si="3"/>
        <v>3816</v>
      </c>
      <c r="E17" s="6">
        <f t="shared" si="4"/>
        <v>222</v>
      </c>
      <c r="F17" s="6">
        <f t="shared" si="0"/>
        <v>245.85</v>
      </c>
      <c r="G17" s="6">
        <f t="shared" si="1"/>
        <v>0</v>
      </c>
      <c r="H17" s="6">
        <f t="array" ref="H17">IF(16&gt;=21,SUMPRODUCT(B2:B17+C2:C17*160)/21,0)</f>
        <v>0</v>
      </c>
      <c r="I17" s="6">
        <f t="shared" si="2"/>
        <v>0</v>
      </c>
    </row>
    <row r="18" spans="1:9" x14ac:dyDescent="0.2">
      <c r="A18" s="4">
        <v>46090</v>
      </c>
      <c r="B18" s="2">
        <v>375</v>
      </c>
      <c r="C18" s="2">
        <v>0</v>
      </c>
      <c r="D18" s="3">
        <f t="shared" si="3"/>
        <v>4191</v>
      </c>
      <c r="E18" s="3">
        <f t="shared" si="4"/>
        <v>222</v>
      </c>
      <c r="F18" s="3">
        <f t="shared" si="0"/>
        <v>248.19374999999999</v>
      </c>
      <c r="G18" s="3">
        <f t="shared" si="1"/>
        <v>0</v>
      </c>
      <c r="H18" s="3">
        <f t="array" ref="H18">IF(17&gt;=21,SUMPRODUCT(B2:B18+C2:C18*160)/21,0)</f>
        <v>0</v>
      </c>
      <c r="I18" s="3">
        <f t="shared" si="2"/>
        <v>0</v>
      </c>
    </row>
    <row r="19" spans="1:9" x14ac:dyDescent="0.2">
      <c r="A19" s="7">
        <v>46091</v>
      </c>
      <c r="B19" s="5">
        <v>170</v>
      </c>
      <c r="C19" s="5">
        <v>0</v>
      </c>
      <c r="D19" s="6">
        <f t="shared" si="3"/>
        <v>4361</v>
      </c>
      <c r="E19" s="6">
        <f t="shared" si="4"/>
        <v>222</v>
      </c>
      <c r="F19" s="6">
        <f t="shared" si="0"/>
        <v>249.25624999999999</v>
      </c>
      <c r="G19" s="6">
        <f t="shared" si="1"/>
        <v>0</v>
      </c>
      <c r="H19" s="6">
        <f t="array" ref="H19">IF(18&gt;=21,SUMPRODUCT(B2:B19+C2:C19*160)/21,0)</f>
        <v>0</v>
      </c>
      <c r="I19" s="6">
        <f t="shared" si="2"/>
        <v>0</v>
      </c>
    </row>
    <row r="20" spans="1:9" x14ac:dyDescent="0.2">
      <c r="A20" s="4">
        <v>46092</v>
      </c>
      <c r="B20" s="2">
        <v>150</v>
      </c>
      <c r="C20" s="2">
        <v>0</v>
      </c>
      <c r="D20" s="3">
        <f t="shared" si="3"/>
        <v>4511</v>
      </c>
      <c r="E20" s="3">
        <f t="shared" si="4"/>
        <v>222</v>
      </c>
      <c r="F20" s="3">
        <f t="shared" si="0"/>
        <v>250.19374999999999</v>
      </c>
      <c r="G20" s="3">
        <f t="shared" si="1"/>
        <v>0</v>
      </c>
      <c r="H20" s="3">
        <f t="array" ref="H20">IF(19&gt;=21,SUMPRODUCT(B2:B20+C2:C20*160)/21,0)</f>
        <v>0</v>
      </c>
      <c r="I20" s="3">
        <f t="shared" si="2"/>
        <v>0</v>
      </c>
    </row>
    <row r="21" spans="1:9" x14ac:dyDescent="0.2">
      <c r="A21" s="7">
        <v>46093</v>
      </c>
      <c r="B21" s="5">
        <v>150</v>
      </c>
      <c r="C21" s="5">
        <v>0</v>
      </c>
      <c r="D21" s="6">
        <f t="shared" si="3"/>
        <v>4661</v>
      </c>
      <c r="E21" s="6">
        <f t="shared" si="4"/>
        <v>222</v>
      </c>
      <c r="F21" s="6">
        <f t="shared" si="0"/>
        <v>251.13124999999999</v>
      </c>
      <c r="G21" s="6">
        <f t="shared" si="1"/>
        <v>0</v>
      </c>
      <c r="H21" s="6">
        <f t="array" ref="H21">IF(20&gt;=21,SUMPRODUCT(B2:B21+C2:C21*160)/21,0)</f>
        <v>0</v>
      </c>
      <c r="I21" s="6">
        <f t="shared" si="2"/>
        <v>0</v>
      </c>
    </row>
    <row r="22" spans="1:9" x14ac:dyDescent="0.2">
      <c r="A22" s="4">
        <v>46094</v>
      </c>
      <c r="B22" s="2">
        <v>470</v>
      </c>
      <c r="C22" s="2">
        <v>0</v>
      </c>
      <c r="D22" s="3">
        <f t="shared" si="3"/>
        <v>5131</v>
      </c>
      <c r="E22" s="3">
        <f t="shared" si="4"/>
        <v>222</v>
      </c>
      <c r="F22" s="3">
        <f t="shared" si="0"/>
        <v>254.06874999999999</v>
      </c>
      <c r="G22" s="3">
        <f t="shared" si="1"/>
        <v>0</v>
      </c>
      <c r="H22" s="3">
        <f t="array" ref="H22">IF(21&gt;=21,SUMPRODUCT(B2:B22+C2:C22*160)/21,0)</f>
        <v>330</v>
      </c>
      <c r="I22" s="3">
        <f t="shared" si="2"/>
        <v>0</v>
      </c>
    </row>
    <row r="23" spans="1:9" x14ac:dyDescent="0.2">
      <c r="A23" s="7">
        <v>46095</v>
      </c>
      <c r="B23" s="5">
        <v>160</v>
      </c>
      <c r="C23" s="5">
        <v>0</v>
      </c>
      <c r="D23" s="6">
        <v>56</v>
      </c>
      <c r="E23" s="6">
        <v>200</v>
      </c>
      <c r="F23" s="6">
        <f t="shared" si="0"/>
        <v>200.35</v>
      </c>
      <c r="G23" s="6">
        <f t="shared" si="1"/>
        <v>0</v>
      </c>
      <c r="H23" s="6">
        <f t="array" ref="H23">IF(22&gt;=21,SUMPRODUCT(B3:B23+C3:C23*160)/21,0)</f>
        <v>330.47619047619048</v>
      </c>
      <c r="I23" s="6">
        <f t="shared" si="2"/>
        <v>0</v>
      </c>
    </row>
    <row r="24" spans="1:9" x14ac:dyDescent="0.2">
      <c r="A24" s="4">
        <v>46096</v>
      </c>
      <c r="B24" s="2">
        <v>155</v>
      </c>
      <c r="C24" s="2">
        <v>0</v>
      </c>
      <c r="D24" s="3">
        <f t="shared" ref="D24:D39" si="5">D23+B24</f>
        <v>211</v>
      </c>
      <c r="E24" s="3">
        <f t="shared" ref="E24:E39" si="6">E23+C24</f>
        <v>200</v>
      </c>
      <c r="F24" s="3">
        <f t="shared" si="0"/>
        <v>201.31874999999999</v>
      </c>
      <c r="G24" s="3">
        <f t="shared" si="1"/>
        <v>0</v>
      </c>
      <c r="H24" s="3">
        <f t="array" ref="H24">IF(23&gt;=21,SUMPRODUCT(B4:B24+C4:C24*160)/21,0)</f>
        <v>330.71428571428572</v>
      </c>
      <c r="I24" s="3">
        <f t="shared" si="2"/>
        <v>0</v>
      </c>
    </row>
    <row r="25" spans="1:9" x14ac:dyDescent="0.2">
      <c r="A25" s="7">
        <v>46097</v>
      </c>
      <c r="B25" s="5">
        <v>1320</v>
      </c>
      <c r="C25" s="5">
        <v>0</v>
      </c>
      <c r="D25" s="6">
        <f t="shared" si="5"/>
        <v>1531</v>
      </c>
      <c r="E25" s="6">
        <f t="shared" si="6"/>
        <v>200</v>
      </c>
      <c r="F25" s="6">
        <f t="shared" si="0"/>
        <v>209.56874999999999</v>
      </c>
      <c r="G25" s="6">
        <f t="shared" si="1"/>
        <v>0</v>
      </c>
      <c r="H25" s="6">
        <f t="array" ref="H25">IF(24&gt;=21,SUMPRODUCT(B5:B25+C5:C25*160)/21,0)</f>
        <v>386.42857142857144</v>
      </c>
      <c r="I25" s="6">
        <f t="shared" si="2"/>
        <v>0</v>
      </c>
    </row>
    <row r="26" spans="1:9" x14ac:dyDescent="0.2">
      <c r="A26" s="4">
        <v>46098</v>
      </c>
      <c r="B26" s="2">
        <v>215</v>
      </c>
      <c r="C26" s="2">
        <v>0</v>
      </c>
      <c r="D26" s="3">
        <f t="shared" si="5"/>
        <v>1746</v>
      </c>
      <c r="E26" s="3">
        <f t="shared" si="6"/>
        <v>200</v>
      </c>
      <c r="F26" s="3">
        <f t="shared" si="0"/>
        <v>210.91249999999999</v>
      </c>
      <c r="G26" s="3">
        <f t="shared" si="1"/>
        <v>0</v>
      </c>
      <c r="H26" s="3">
        <f t="array" ref="H26">IF(25&gt;=21,SUMPRODUCT(B6:B26+C6:C26*160)/21,0)</f>
        <v>389.52380952380952</v>
      </c>
      <c r="I26" s="3">
        <f t="shared" si="2"/>
        <v>0</v>
      </c>
    </row>
    <row r="27" spans="1:9" x14ac:dyDescent="0.2">
      <c r="A27" s="7">
        <v>46099</v>
      </c>
      <c r="B27" s="5">
        <v>150</v>
      </c>
      <c r="C27" s="5">
        <v>0</v>
      </c>
      <c r="D27" s="6">
        <f t="shared" si="5"/>
        <v>1896</v>
      </c>
      <c r="E27" s="6">
        <f t="shared" si="6"/>
        <v>200</v>
      </c>
      <c r="F27" s="6">
        <f t="shared" si="0"/>
        <v>211.85</v>
      </c>
      <c r="G27" s="6">
        <f t="shared" si="1"/>
        <v>0</v>
      </c>
      <c r="H27" s="6">
        <f t="array" ref="H27">IF(26&gt;=21,SUMPRODUCT(B7:B27+C7:C27*160)/21,0)</f>
        <v>389.52380952380952</v>
      </c>
      <c r="I27" s="6">
        <f t="shared" si="2"/>
        <v>0</v>
      </c>
    </row>
    <row r="28" spans="1:9" x14ac:dyDescent="0.2">
      <c r="A28" s="4">
        <v>46100</v>
      </c>
      <c r="B28" s="2">
        <v>170</v>
      </c>
      <c r="C28" s="2">
        <v>0</v>
      </c>
      <c r="D28" s="3">
        <f t="shared" si="5"/>
        <v>2066</v>
      </c>
      <c r="E28" s="3">
        <f t="shared" si="6"/>
        <v>200</v>
      </c>
      <c r="F28" s="3">
        <f t="shared" si="0"/>
        <v>212.91249999999999</v>
      </c>
      <c r="G28" s="3">
        <f t="shared" si="1"/>
        <v>0</v>
      </c>
      <c r="H28" s="3">
        <f t="array" ref="H28">IF(27&gt;=21,SUMPRODUCT(B8:B28+C8:C28*160)/21,0)</f>
        <v>390.47619047619048</v>
      </c>
      <c r="I28" s="3">
        <f t="shared" si="2"/>
        <v>0</v>
      </c>
    </row>
    <row r="29" spans="1:9" x14ac:dyDescent="0.2">
      <c r="A29" s="7">
        <v>46101</v>
      </c>
      <c r="B29" s="5">
        <v>150</v>
      </c>
      <c r="C29" s="5">
        <v>0</v>
      </c>
      <c r="D29" s="6">
        <f t="shared" si="5"/>
        <v>2216</v>
      </c>
      <c r="E29" s="6">
        <f t="shared" si="6"/>
        <v>200</v>
      </c>
      <c r="F29" s="6">
        <f t="shared" si="0"/>
        <v>213.85</v>
      </c>
      <c r="G29" s="6">
        <f t="shared" si="1"/>
        <v>0</v>
      </c>
      <c r="H29" s="6">
        <f t="array" ref="H29">IF(28&gt;=21,SUMPRODUCT(B9:B29+C9:C29*160)/21,0)</f>
        <v>375.23809523809524</v>
      </c>
      <c r="I29" s="6">
        <f t="shared" si="2"/>
        <v>0</v>
      </c>
    </row>
    <row r="30" spans="1:9" x14ac:dyDescent="0.2">
      <c r="A30" s="4">
        <v>46102</v>
      </c>
      <c r="B30" s="2">
        <v>150</v>
      </c>
      <c r="C30" s="2">
        <v>0</v>
      </c>
      <c r="D30" s="3">
        <f t="shared" si="5"/>
        <v>2366</v>
      </c>
      <c r="E30" s="3">
        <f t="shared" si="6"/>
        <v>200</v>
      </c>
      <c r="F30" s="3">
        <f t="shared" si="0"/>
        <v>214.78749999999999</v>
      </c>
      <c r="G30" s="3">
        <f t="shared" si="1"/>
        <v>0</v>
      </c>
      <c r="H30" s="3">
        <f t="array" ref="H30">IF(29&gt;=21,SUMPRODUCT(B10:B30+C10:C30*160)/21,0)</f>
        <v>375.23809523809524</v>
      </c>
      <c r="I30" s="3">
        <f t="shared" si="2"/>
        <v>0</v>
      </c>
    </row>
    <row r="31" spans="1:9" x14ac:dyDescent="0.2">
      <c r="A31" s="8" t="s">
        <v>9</v>
      </c>
      <c r="B31" s="9">
        <v>150</v>
      </c>
      <c r="C31" s="9">
        <v>0</v>
      </c>
      <c r="D31" s="10">
        <f t="shared" si="5"/>
        <v>2516</v>
      </c>
      <c r="E31" s="10">
        <f t="shared" si="6"/>
        <v>200</v>
      </c>
      <c r="F31" s="10">
        <f t="shared" si="0"/>
        <v>215.72499999999999</v>
      </c>
      <c r="G31" s="10">
        <f t="shared" si="1"/>
        <v>0</v>
      </c>
      <c r="H31" s="10">
        <f t="shared" ref="H31:H55" si="7">IF(21&gt;=21,SUMPRODUCT(B11:B31+C11:C31*160)/21,0)</f>
        <v>299.04761904761904</v>
      </c>
      <c r="I31" s="10">
        <f t="shared" si="2"/>
        <v>0</v>
      </c>
    </row>
    <row r="32" spans="1:9" x14ac:dyDescent="0.2">
      <c r="A32" s="11" t="s">
        <v>10</v>
      </c>
      <c r="B32" s="12">
        <v>375</v>
      </c>
      <c r="C32" s="12">
        <v>0</v>
      </c>
      <c r="D32" s="13">
        <f t="shared" si="5"/>
        <v>2891</v>
      </c>
      <c r="E32" s="13">
        <f t="shared" si="6"/>
        <v>200</v>
      </c>
      <c r="F32" s="13">
        <f t="shared" si="0"/>
        <v>218.06874999999999</v>
      </c>
      <c r="G32" s="13">
        <f t="shared" si="1"/>
        <v>0</v>
      </c>
      <c r="H32" s="13">
        <f t="shared" si="7"/>
        <v>271.66666666666669</v>
      </c>
      <c r="I32" s="13">
        <f t="shared" si="2"/>
        <v>0</v>
      </c>
    </row>
    <row r="33" spans="1:9" x14ac:dyDescent="0.2">
      <c r="A33" s="14" t="s">
        <v>11</v>
      </c>
      <c r="B33" s="15">
        <v>150</v>
      </c>
      <c r="C33" s="15">
        <v>0</v>
      </c>
      <c r="D33" s="16">
        <f t="shared" si="5"/>
        <v>3041</v>
      </c>
      <c r="E33" s="16">
        <f t="shared" si="6"/>
        <v>200</v>
      </c>
      <c r="F33" s="16">
        <f t="shared" si="0"/>
        <v>219.00624999999999</v>
      </c>
      <c r="G33" s="16">
        <f t="shared" si="1"/>
        <v>0</v>
      </c>
      <c r="H33" s="16">
        <f t="shared" si="7"/>
        <v>269.28571428571428</v>
      </c>
      <c r="I33" s="16">
        <f t="shared" si="2"/>
        <v>0</v>
      </c>
    </row>
    <row r="34" spans="1:9" x14ac:dyDescent="0.2">
      <c r="A34" s="17" t="s">
        <v>12</v>
      </c>
      <c r="B34" s="18">
        <v>493</v>
      </c>
      <c r="C34" s="18">
        <v>0</v>
      </c>
      <c r="D34" s="19">
        <f t="shared" si="5"/>
        <v>3534</v>
      </c>
      <c r="E34" s="19">
        <f t="shared" si="6"/>
        <v>200</v>
      </c>
      <c r="F34" s="19">
        <f t="shared" ref="F34:F65" si="8">D34/160+E34</f>
        <v>222.08750000000001</v>
      </c>
      <c r="G34" s="19">
        <f t="shared" ref="G34:G65" si="9">MAX((80-F34)*160,0)</f>
        <v>0</v>
      </c>
      <c r="H34" s="19">
        <f t="shared" si="7"/>
        <v>281.8095238095238</v>
      </c>
      <c r="I34" s="19">
        <f t="shared" ref="I34:I65" si="10">IF(H34&gt;0,G34/H34,0)</f>
        <v>0</v>
      </c>
    </row>
    <row r="35" spans="1:9" x14ac:dyDescent="0.2">
      <c r="A35" s="14" t="s">
        <v>13</v>
      </c>
      <c r="B35" s="15">
        <v>593</v>
      </c>
      <c r="C35" s="15">
        <v>0</v>
      </c>
      <c r="D35" s="16">
        <f t="shared" si="5"/>
        <v>4127</v>
      </c>
      <c r="E35" s="16">
        <f t="shared" si="6"/>
        <v>200</v>
      </c>
      <c r="F35" s="16">
        <f t="shared" si="8"/>
        <v>225.79374999999999</v>
      </c>
      <c r="G35" s="16">
        <f t="shared" si="9"/>
        <v>0</v>
      </c>
      <c r="H35" s="16">
        <f t="shared" si="7"/>
        <v>301.95238095238096</v>
      </c>
      <c r="I35" s="16">
        <f t="shared" si="10"/>
        <v>0</v>
      </c>
    </row>
    <row r="36" spans="1:9" x14ac:dyDescent="0.2">
      <c r="A36" s="17" t="s">
        <v>14</v>
      </c>
      <c r="B36" s="18">
        <v>655</v>
      </c>
      <c r="C36" s="18">
        <v>0</v>
      </c>
      <c r="D36" s="19">
        <f t="shared" si="5"/>
        <v>4782</v>
      </c>
      <c r="E36" s="19">
        <f t="shared" si="6"/>
        <v>200</v>
      </c>
      <c r="F36" s="19">
        <f t="shared" si="8"/>
        <v>229.88749999999999</v>
      </c>
      <c r="G36" s="19">
        <f t="shared" si="9"/>
        <v>0</v>
      </c>
      <c r="H36" s="19">
        <f t="shared" si="7"/>
        <v>326</v>
      </c>
      <c r="I36" s="19">
        <f t="shared" si="10"/>
        <v>0</v>
      </c>
    </row>
    <row r="37" spans="1:9" x14ac:dyDescent="0.2">
      <c r="A37" s="14" t="s">
        <v>15</v>
      </c>
      <c r="B37" s="15">
        <v>170</v>
      </c>
      <c r="C37" s="15">
        <v>0</v>
      </c>
      <c r="D37" s="16">
        <f t="shared" si="5"/>
        <v>4952</v>
      </c>
      <c r="E37" s="16">
        <f t="shared" si="6"/>
        <v>200</v>
      </c>
      <c r="F37" s="16">
        <f t="shared" si="8"/>
        <v>230.95</v>
      </c>
      <c r="G37" s="16">
        <f t="shared" si="9"/>
        <v>0</v>
      </c>
      <c r="H37" s="16">
        <f t="shared" si="7"/>
        <v>326.95238095238096</v>
      </c>
      <c r="I37" s="16">
        <f t="shared" si="10"/>
        <v>0</v>
      </c>
    </row>
    <row r="38" spans="1:9" x14ac:dyDescent="0.2">
      <c r="A38" s="17" t="s">
        <v>16</v>
      </c>
      <c r="B38" s="18">
        <v>110</v>
      </c>
      <c r="C38" s="18">
        <v>0</v>
      </c>
      <c r="D38" s="19">
        <f t="shared" si="5"/>
        <v>5062</v>
      </c>
      <c r="E38" s="19">
        <f t="shared" si="6"/>
        <v>200</v>
      </c>
      <c r="F38" s="19">
        <f t="shared" si="8"/>
        <v>231.63749999999999</v>
      </c>
      <c r="G38" s="19">
        <f t="shared" si="9"/>
        <v>0</v>
      </c>
      <c r="H38" s="19">
        <f t="shared" si="7"/>
        <v>308.61904761904759</v>
      </c>
      <c r="I38" s="19">
        <f t="shared" si="10"/>
        <v>0</v>
      </c>
    </row>
    <row r="39" spans="1:9" x14ac:dyDescent="0.2">
      <c r="A39" s="14" t="s">
        <v>17</v>
      </c>
      <c r="B39" s="15">
        <v>960</v>
      </c>
      <c r="C39" s="15">
        <v>0</v>
      </c>
      <c r="D39" s="16">
        <f t="shared" si="5"/>
        <v>6022</v>
      </c>
      <c r="E39" s="16">
        <f t="shared" si="6"/>
        <v>200</v>
      </c>
      <c r="F39" s="16">
        <f t="shared" si="8"/>
        <v>237.63749999999999</v>
      </c>
      <c r="G39" s="16">
        <f t="shared" si="9"/>
        <v>0</v>
      </c>
      <c r="H39" s="16">
        <f t="shared" si="7"/>
        <v>336.47619047619048</v>
      </c>
      <c r="I39" s="16">
        <f t="shared" si="10"/>
        <v>0</v>
      </c>
    </row>
    <row r="40" spans="1:9" x14ac:dyDescent="0.2">
      <c r="A40" s="17" t="s">
        <v>18</v>
      </c>
      <c r="B40" s="18">
        <v>380</v>
      </c>
      <c r="C40" s="18">
        <v>0</v>
      </c>
      <c r="D40" s="19">
        <v>91</v>
      </c>
      <c r="E40" s="19">
        <v>30</v>
      </c>
      <c r="F40" s="19">
        <f t="shared" si="8"/>
        <v>30.568750000000001</v>
      </c>
      <c r="G40" s="19">
        <f t="shared" si="9"/>
        <v>7909</v>
      </c>
      <c r="H40" s="19">
        <f t="shared" si="7"/>
        <v>346.47619047619048</v>
      </c>
      <c r="I40" s="19">
        <f t="shared" si="10"/>
        <v>22.826965365585487</v>
      </c>
    </row>
    <row r="41" spans="1:9" x14ac:dyDescent="0.2">
      <c r="A41" s="20" t="s">
        <v>19</v>
      </c>
      <c r="B41" s="21">
        <v>100</v>
      </c>
      <c r="C41" s="21">
        <v>0</v>
      </c>
      <c r="D41" s="22">
        <f t="shared" ref="D41:D55" si="11">D40+B41</f>
        <v>191</v>
      </c>
      <c r="E41" s="22">
        <f t="shared" ref="E41:E55" si="12">E40+C41</f>
        <v>30</v>
      </c>
      <c r="F41" s="22">
        <f t="shared" si="8"/>
        <v>31.193750000000001</v>
      </c>
      <c r="G41" s="22">
        <f t="shared" si="9"/>
        <v>7809</v>
      </c>
      <c r="H41" s="22">
        <f t="shared" si="7"/>
        <v>344.09523809523807</v>
      </c>
      <c r="I41" s="22">
        <f t="shared" si="10"/>
        <v>22.694298367008027</v>
      </c>
    </row>
    <row r="42" spans="1:9" x14ac:dyDescent="0.2">
      <c r="A42" s="23" t="s">
        <v>20</v>
      </c>
      <c r="B42" s="24">
        <v>481</v>
      </c>
      <c r="C42" s="24">
        <v>0</v>
      </c>
      <c r="D42" s="25">
        <f t="shared" si="11"/>
        <v>672</v>
      </c>
      <c r="E42" s="25">
        <f t="shared" si="12"/>
        <v>30</v>
      </c>
      <c r="F42" s="25">
        <f t="shared" si="8"/>
        <v>34.200000000000003</v>
      </c>
      <c r="G42" s="25">
        <f t="shared" si="9"/>
        <v>7328</v>
      </c>
      <c r="H42" s="25">
        <f t="shared" si="7"/>
        <v>359.85714285714283</v>
      </c>
      <c r="I42" s="25">
        <f t="shared" si="10"/>
        <v>20.363636363636363</v>
      </c>
    </row>
    <row r="43" spans="1:9" x14ac:dyDescent="0.2">
      <c r="A43" s="20" t="s">
        <v>21</v>
      </c>
      <c r="B43" s="21">
        <v>150</v>
      </c>
      <c r="C43" s="21">
        <v>0</v>
      </c>
      <c r="D43" s="22">
        <f t="shared" si="11"/>
        <v>822</v>
      </c>
      <c r="E43" s="22">
        <f t="shared" si="12"/>
        <v>30</v>
      </c>
      <c r="F43" s="22">
        <f t="shared" si="8"/>
        <v>35.137500000000003</v>
      </c>
      <c r="G43" s="22">
        <f t="shared" si="9"/>
        <v>7178</v>
      </c>
      <c r="H43" s="22">
        <f t="shared" si="7"/>
        <v>344.61904761904759</v>
      </c>
      <c r="I43" s="22">
        <f t="shared" si="10"/>
        <v>20.828796462622634</v>
      </c>
    </row>
    <row r="44" spans="1:9" x14ac:dyDescent="0.2">
      <c r="A44" s="23" t="s">
        <v>22</v>
      </c>
      <c r="B44" s="24">
        <v>150</v>
      </c>
      <c r="C44" s="24">
        <v>0</v>
      </c>
      <c r="D44" s="25">
        <f t="shared" si="11"/>
        <v>972</v>
      </c>
      <c r="E44" s="25">
        <f t="shared" si="12"/>
        <v>30</v>
      </c>
      <c r="F44" s="25">
        <f t="shared" si="8"/>
        <v>36.075000000000003</v>
      </c>
      <c r="G44" s="25">
        <f t="shared" si="9"/>
        <v>7028</v>
      </c>
      <c r="H44" s="25">
        <f t="shared" si="7"/>
        <v>344.14285714285717</v>
      </c>
      <c r="I44" s="25">
        <f t="shared" si="10"/>
        <v>20.421751764217515</v>
      </c>
    </row>
    <row r="45" spans="1:9" x14ac:dyDescent="0.2">
      <c r="A45" s="20" t="s">
        <v>23</v>
      </c>
      <c r="B45" s="21">
        <v>0</v>
      </c>
      <c r="C45" s="21">
        <v>0</v>
      </c>
      <c r="D45" s="22">
        <f t="shared" si="11"/>
        <v>972</v>
      </c>
      <c r="E45" s="22">
        <f t="shared" si="12"/>
        <v>30</v>
      </c>
      <c r="F45" s="22">
        <f t="shared" si="8"/>
        <v>36.075000000000003</v>
      </c>
      <c r="G45" s="22">
        <f t="shared" si="9"/>
        <v>7028</v>
      </c>
      <c r="H45" s="22">
        <f t="shared" si="7"/>
        <v>336.76190476190476</v>
      </c>
      <c r="I45" s="22">
        <f t="shared" si="10"/>
        <v>20.869343891402714</v>
      </c>
    </row>
    <row r="46" spans="1:9" x14ac:dyDescent="0.2">
      <c r="A46" s="23" t="s">
        <v>24</v>
      </c>
      <c r="B46" s="24">
        <v>150</v>
      </c>
      <c r="C46" s="24">
        <v>0</v>
      </c>
      <c r="D46" s="25">
        <f t="shared" si="11"/>
        <v>1122</v>
      </c>
      <c r="E46" s="25">
        <f t="shared" si="12"/>
        <v>30</v>
      </c>
      <c r="F46" s="25">
        <f t="shared" si="8"/>
        <v>37.012500000000003</v>
      </c>
      <c r="G46" s="25">
        <f t="shared" si="9"/>
        <v>6878</v>
      </c>
      <c r="H46" s="25">
        <f t="shared" si="7"/>
        <v>281.04761904761904</v>
      </c>
      <c r="I46" s="25">
        <f t="shared" si="10"/>
        <v>24.472721111487633</v>
      </c>
    </row>
    <row r="47" spans="1:9" x14ac:dyDescent="0.2">
      <c r="A47" s="20" t="s">
        <v>25</v>
      </c>
      <c r="B47" s="21">
        <v>150</v>
      </c>
      <c r="C47" s="21">
        <v>0</v>
      </c>
      <c r="D47" s="22">
        <f t="shared" si="11"/>
        <v>1272</v>
      </c>
      <c r="E47" s="22">
        <f t="shared" si="12"/>
        <v>30</v>
      </c>
      <c r="F47" s="22">
        <f t="shared" si="8"/>
        <v>37.950000000000003</v>
      </c>
      <c r="G47" s="22">
        <f t="shared" si="9"/>
        <v>6728</v>
      </c>
      <c r="H47" s="22">
        <f t="shared" si="7"/>
        <v>277.95238095238096</v>
      </c>
      <c r="I47" s="22">
        <f t="shared" si="10"/>
        <v>24.205585060818912</v>
      </c>
    </row>
    <row r="48" spans="1:9" x14ac:dyDescent="0.2">
      <c r="A48" s="23" t="s">
        <v>26</v>
      </c>
      <c r="B48" s="24">
        <v>150</v>
      </c>
      <c r="C48" s="24">
        <v>0</v>
      </c>
      <c r="D48" s="25">
        <f t="shared" si="11"/>
        <v>1422</v>
      </c>
      <c r="E48" s="25">
        <f t="shared" si="12"/>
        <v>30</v>
      </c>
      <c r="F48" s="25">
        <f t="shared" si="8"/>
        <v>38.887500000000003</v>
      </c>
      <c r="G48" s="25">
        <f t="shared" si="9"/>
        <v>6578</v>
      </c>
      <c r="H48" s="25">
        <f t="shared" si="7"/>
        <v>277.95238095238096</v>
      </c>
      <c r="I48" s="25">
        <f t="shared" si="10"/>
        <v>23.665924276169264</v>
      </c>
    </row>
    <row r="49" spans="1:9" x14ac:dyDescent="0.2">
      <c r="A49" s="20" t="s">
        <v>27</v>
      </c>
      <c r="B49" s="21">
        <v>525</v>
      </c>
      <c r="C49" s="21">
        <v>0</v>
      </c>
      <c r="D49" s="22">
        <f t="shared" si="11"/>
        <v>1947</v>
      </c>
      <c r="E49" s="22">
        <f t="shared" si="12"/>
        <v>30</v>
      </c>
      <c r="F49" s="22">
        <f t="shared" si="8"/>
        <v>42.168750000000003</v>
      </c>
      <c r="G49" s="22">
        <f t="shared" si="9"/>
        <v>6053</v>
      </c>
      <c r="H49" s="22">
        <f t="shared" si="7"/>
        <v>294.85714285714283</v>
      </c>
      <c r="I49" s="22">
        <f t="shared" si="10"/>
        <v>20.52858527131783</v>
      </c>
    </row>
    <row r="50" spans="1:9" x14ac:dyDescent="0.2">
      <c r="A50" s="23" t="s">
        <v>28</v>
      </c>
      <c r="B50" s="24">
        <v>450</v>
      </c>
      <c r="C50" s="24">
        <v>0</v>
      </c>
      <c r="D50" s="25">
        <f t="shared" si="11"/>
        <v>2397</v>
      </c>
      <c r="E50" s="25">
        <f t="shared" si="12"/>
        <v>30</v>
      </c>
      <c r="F50" s="25">
        <f t="shared" si="8"/>
        <v>44.981250000000003</v>
      </c>
      <c r="G50" s="25">
        <f t="shared" si="9"/>
        <v>5603</v>
      </c>
      <c r="H50" s="25">
        <f t="shared" si="7"/>
        <v>309.14285714285717</v>
      </c>
      <c r="I50" s="25">
        <f t="shared" si="10"/>
        <v>18.124306839186691</v>
      </c>
    </row>
    <row r="51" spans="1:9" x14ac:dyDescent="0.2">
      <c r="A51" s="20" t="s">
        <v>29</v>
      </c>
      <c r="B51" s="21">
        <v>150</v>
      </c>
      <c r="C51" s="21">
        <v>0</v>
      </c>
      <c r="D51" s="22">
        <f t="shared" si="11"/>
        <v>2547</v>
      </c>
      <c r="E51" s="22">
        <f t="shared" si="12"/>
        <v>30</v>
      </c>
      <c r="F51" s="22">
        <f t="shared" si="8"/>
        <v>45.918750000000003</v>
      </c>
      <c r="G51" s="22">
        <f t="shared" si="9"/>
        <v>5453</v>
      </c>
      <c r="H51" s="22">
        <f t="shared" si="7"/>
        <v>309.14285714285717</v>
      </c>
      <c r="I51" s="22">
        <f t="shared" si="10"/>
        <v>17.639094269870608</v>
      </c>
    </row>
    <row r="52" spans="1:9" x14ac:dyDescent="0.2">
      <c r="A52" s="23" t="s">
        <v>30</v>
      </c>
      <c r="B52" s="24">
        <v>150</v>
      </c>
      <c r="C52" s="24">
        <v>0</v>
      </c>
      <c r="D52" s="25">
        <f t="shared" si="11"/>
        <v>2697</v>
      </c>
      <c r="E52" s="25">
        <f t="shared" si="12"/>
        <v>30</v>
      </c>
      <c r="F52" s="25">
        <f t="shared" si="8"/>
        <v>46.856250000000003</v>
      </c>
      <c r="G52" s="25">
        <f t="shared" si="9"/>
        <v>5303</v>
      </c>
      <c r="H52" s="25">
        <f t="shared" si="7"/>
        <v>309.14285714285717</v>
      </c>
      <c r="I52" s="25">
        <f t="shared" si="10"/>
        <v>17.153881700554528</v>
      </c>
    </row>
    <row r="53" spans="1:9" x14ac:dyDescent="0.2">
      <c r="A53" s="20" t="s">
        <v>31</v>
      </c>
      <c r="B53" s="21">
        <v>1315</v>
      </c>
      <c r="C53" s="21">
        <v>0</v>
      </c>
      <c r="D53" s="22">
        <f t="shared" si="11"/>
        <v>4012</v>
      </c>
      <c r="E53" s="22">
        <f t="shared" si="12"/>
        <v>30</v>
      </c>
      <c r="F53" s="22">
        <f t="shared" si="8"/>
        <v>55.075000000000003</v>
      </c>
      <c r="G53" s="22">
        <f t="shared" si="9"/>
        <v>3987.9999999999995</v>
      </c>
      <c r="H53" s="22">
        <f t="shared" si="7"/>
        <v>353.90476190476193</v>
      </c>
      <c r="I53" s="22">
        <f t="shared" si="10"/>
        <v>11.268568353067813</v>
      </c>
    </row>
    <row r="54" spans="1:9" x14ac:dyDescent="0.2">
      <c r="A54" s="23" t="s">
        <v>32</v>
      </c>
      <c r="B54" s="24">
        <v>150</v>
      </c>
      <c r="C54" s="24">
        <v>0</v>
      </c>
      <c r="D54" s="25">
        <v>103</v>
      </c>
      <c r="E54" s="25">
        <v>74</v>
      </c>
      <c r="F54" s="25">
        <f t="shared" si="8"/>
        <v>74.643749999999997</v>
      </c>
      <c r="G54" s="25">
        <f t="shared" si="9"/>
        <v>857.00000000000045</v>
      </c>
      <c r="H54" s="25">
        <f t="shared" si="7"/>
        <v>353.90476190476193</v>
      </c>
      <c r="I54" s="25">
        <f t="shared" si="10"/>
        <v>2.4215554359526386</v>
      </c>
    </row>
    <row r="55" spans="1:9" x14ac:dyDescent="0.2">
      <c r="A55" s="20" t="s">
        <v>33</v>
      </c>
      <c r="B55" s="21">
        <v>0</v>
      </c>
      <c r="C55" s="21">
        <v>0</v>
      </c>
      <c r="D55" s="22">
        <f t="shared" si="11"/>
        <v>103</v>
      </c>
      <c r="E55" s="22">
        <f t="shared" si="12"/>
        <v>74</v>
      </c>
      <c r="F55" s="22">
        <f t="shared" si="8"/>
        <v>74.643749999999997</v>
      </c>
      <c r="G55" s="22">
        <f t="shared" si="9"/>
        <v>857.00000000000045</v>
      </c>
      <c r="H55" s="22">
        <f t="shared" si="7"/>
        <v>330.42857142857144</v>
      </c>
      <c r="I55" s="22">
        <f t="shared" si="10"/>
        <v>2.5936013834846534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Diary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Rianna Santra</cp:lastModifiedBy>
  <dcterms:created xsi:type="dcterms:W3CDTF">2026-03-22T04:05:24Z</dcterms:created>
  <dcterms:modified xsi:type="dcterms:W3CDTF">2026-04-15T13:09:32Z</dcterms:modified>
</cp:coreProperties>
</file>