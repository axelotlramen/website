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  <row r="9">
      <c r="A9" s="5" t="inlineStr">
        <is>
          <t>2026-03-28</t>
        </is>
      </c>
      <c r="B9" s="6" t="n">
        <v>0</v>
      </c>
      <c r="C9" s="6" t="n">
        <v>0</v>
      </c>
      <c r="D9" s="7">
        <f>D8+B9</f>
        <v/>
      </c>
      <c r="E9" s="7">
        <f>E8+C9</f>
        <v/>
      </c>
      <c r="F9" s="7">
        <f>D9/160+E9</f>
        <v/>
      </c>
      <c r="G9" s="7">
        <f>MAX((80-F9)*160,0)</f>
        <v/>
      </c>
      <c r="H9" s="7">
        <f>IF(8&gt;=21,SUMPRODUCT(B2:B9+C2:C9*160)/21,0)</f>
        <v/>
      </c>
      <c r="I9" s="7">
        <f>IF(H9&gt;0,G9/H9,0)</f>
        <v/>
      </c>
    </row>
    <row r="10">
      <c r="A10" s="8" t="inlineStr">
        <is>
          <t>2026-03-29</t>
        </is>
      </c>
      <c r="B10" s="9" t="n">
        <v>0</v>
      </c>
      <c r="C10" s="9" t="n">
        <v>0</v>
      </c>
      <c r="D10" s="10">
        <f>D9+B10</f>
        <v/>
      </c>
      <c r="E10" s="10">
        <f>E9+C10</f>
        <v/>
      </c>
      <c r="F10" s="10">
        <f>D10/160+E10</f>
        <v/>
      </c>
      <c r="G10" s="10">
        <f>MAX((80-F10)*160,0)</f>
        <v/>
      </c>
      <c r="H10" s="10">
        <f>IF(9&gt;=21,SUMPRODUCT(B2:B10+C2:C10*160)/21,0)</f>
        <v/>
      </c>
      <c r="I10" s="10">
        <f>IF(H10&gt;0,G10/H10,0)</f>
        <v/>
      </c>
    </row>
    <row r="11">
      <c r="A11" s="5" t="inlineStr">
        <is>
          <t>2026-03-30</t>
        </is>
      </c>
      <c r="B11" s="6" t="n">
        <v>0</v>
      </c>
      <c r="C11" s="6" t="n">
        <v>0</v>
      </c>
      <c r="D11" s="7">
        <f>D10+B11</f>
        <v/>
      </c>
      <c r="E11" s="7">
        <f>E10+C11</f>
        <v/>
      </c>
      <c r="F11" s="7">
        <f>D11/160+E11</f>
        <v/>
      </c>
      <c r="G11" s="7">
        <f>MAX((80-F11)*160,0)</f>
        <v/>
      </c>
      <c r="H11" s="7">
        <f>IF(10&gt;=21,SUMPRODUCT(B2:B11+C2:C11*160)/21,0)</f>
        <v/>
      </c>
      <c r="I11" s="7">
        <f>IF(H11&gt;0,G11/H11,0)</f>
        <v/>
      </c>
    </row>
    <row r="12">
      <c r="A12" s="8" t="inlineStr">
        <is>
          <t>2026-03-31</t>
        </is>
      </c>
      <c r="B12" s="9" t="n">
        <v>0</v>
      </c>
      <c r="C12" s="9" t="n">
        <v>0</v>
      </c>
      <c r="D12" s="10">
        <f>D11+B12</f>
        <v/>
      </c>
      <c r="E12" s="10">
        <f>E11+C12</f>
        <v/>
      </c>
      <c r="F12" s="10">
        <f>D12/160+E12</f>
        <v/>
      </c>
      <c r="G12" s="10">
        <f>MAX((80-F12)*160,0)</f>
        <v/>
      </c>
      <c r="H12" s="10">
        <f>IF(11&gt;=21,SUMPRODUCT(B2:B12+C2:C12*160)/21,0)</f>
        <v/>
      </c>
      <c r="I12" s="10">
        <f>IF(H12&gt;0,G12/H12,0)</f>
        <v/>
      </c>
    </row>
    <row r="13">
      <c r="A13" s="5" t="inlineStr">
        <is>
          <t>2026-04-15</t>
        </is>
      </c>
      <c r="B13" s="6" t="n">
        <v>581</v>
      </c>
      <c r="C13" s="6" t="n">
        <v>0</v>
      </c>
      <c r="D13" s="7">
        <f>D12+B13</f>
        <v/>
      </c>
      <c r="E13" s="7">
        <f>E12+C13</f>
        <v/>
      </c>
      <c r="F13" s="7">
        <f>D13/160+E13</f>
        <v/>
      </c>
      <c r="G13" s="7">
        <f>MAX((80-F13)*160,0)</f>
        <v/>
      </c>
      <c r="H13" s="7">
        <f>IF(12&gt;=21,SUMPRODUCT(B2:B13+C2:C13*160)/21,0)</f>
        <v/>
      </c>
      <c r="I13" s="7">
        <f>IF(H13&gt;0,G13/H13,0)</f>
        <v/>
      </c>
    </row>
    <row r="14">
      <c r="A14" s="8" t="inlineStr">
        <is>
          <t>2026-04-16</t>
        </is>
      </c>
      <c r="B14" s="9" t="n">
        <v>781</v>
      </c>
      <c r="C14" s="9" t="n">
        <v>0</v>
      </c>
      <c r="D14" s="10">
        <f>D13+B14</f>
        <v/>
      </c>
      <c r="E14" s="10">
        <f>E13+C14</f>
        <v/>
      </c>
      <c r="F14" s="10">
        <f>D14/160+E14</f>
        <v/>
      </c>
      <c r="G14" s="10">
        <f>MAX((80-F14)*160,0)</f>
        <v/>
      </c>
      <c r="H14" s="10">
        <f>IF(13&gt;=21,SUMPRODUCT(B2:B14+C2:C14*160)/21,0)</f>
        <v/>
      </c>
      <c r="I14" s="10">
        <f>IF(H14&gt;0,G14/H14,0)</f>
        <v/>
      </c>
    </row>
    <row r="15">
      <c r="A15" s="5" t="inlineStr">
        <is>
          <t>2026-04-17</t>
        </is>
      </c>
      <c r="B15" s="6" t="n">
        <v>60</v>
      </c>
      <c r="C15" s="6" t="n">
        <v>0</v>
      </c>
      <c r="D15" s="7">
        <f>D14+B15</f>
        <v/>
      </c>
      <c r="E15" s="7">
        <f>E14+C15</f>
        <v/>
      </c>
      <c r="F15" s="7">
        <f>D15/160+E15</f>
        <v/>
      </c>
      <c r="G15" s="7">
        <f>MAX((80-F15)*160,0)</f>
        <v/>
      </c>
      <c r="H15" s="7">
        <f>IF(14&gt;=21,SUMPRODUCT(B2:B15+C2:C15*160)/21,0)</f>
        <v/>
      </c>
      <c r="I15" s="7">
        <f>IF(H15&gt;0,G15/H15,0)</f>
        <v/>
      </c>
    </row>
    <row r="16">
      <c r="A16" s="8" t="inlineStr">
        <is>
          <t>2026-04-18</t>
        </is>
      </c>
      <c r="B16" s="9" t="n">
        <v>0</v>
      </c>
      <c r="C16" s="9" t="n">
        <v>0</v>
      </c>
      <c r="D16" s="10">
        <f>D15+B16</f>
        <v/>
      </c>
      <c r="E16" s="10">
        <f>E15+C16</f>
        <v/>
      </c>
      <c r="F16" s="10">
        <f>D16/160+E16</f>
        <v/>
      </c>
      <c r="G16" s="10">
        <f>MAX((80-F16)*160,0)</f>
        <v/>
      </c>
      <c r="H16" s="10">
        <f>IF(15&gt;=21,SUMPRODUCT(B2:B16+C2:C16*160)/21,0)</f>
        <v/>
      </c>
      <c r="I16" s="10">
        <f>IF(H16&gt;0,G16/H16,0)</f>
        <v/>
      </c>
    </row>
    <row r="17">
      <c r="A17" s="5" t="inlineStr">
        <is>
          <t>2026-04-19</t>
        </is>
      </c>
      <c r="B17" s="6" t="n">
        <v>60</v>
      </c>
      <c r="C17" s="6" t="n">
        <v>0</v>
      </c>
      <c r="D17" s="7">
        <f>D16+B17</f>
        <v/>
      </c>
      <c r="E17" s="7">
        <f>E16+C17</f>
        <v/>
      </c>
      <c r="F17" s="7">
        <f>D17/160+E17</f>
        <v/>
      </c>
      <c r="G17" s="7">
        <f>MAX((80-F17)*160,0)</f>
        <v/>
      </c>
      <c r="H17" s="7">
        <f>IF(16&gt;=21,SUMPRODUCT(B2:B17+C2:C17*160)/21,0)</f>
        <v/>
      </c>
      <c r="I17" s="7">
        <f>IF(H17&gt;0,G17/H17,0)</f>
        <v/>
      </c>
    </row>
    <row r="18">
      <c r="A18" s="8" t="inlineStr">
        <is>
          <t>2026-04-20</t>
        </is>
      </c>
      <c r="B18" s="9" t="n">
        <v>0</v>
      </c>
      <c r="C18" s="9" t="n">
        <v>0</v>
      </c>
      <c r="D18" s="10">
        <f>D17+B18</f>
        <v/>
      </c>
      <c r="E18" s="10">
        <f>E17+C18</f>
        <v/>
      </c>
      <c r="F18" s="10">
        <f>D18/160+E18</f>
        <v/>
      </c>
      <c r="G18" s="10">
        <f>MAX((80-F18)*160,0)</f>
        <v/>
      </c>
      <c r="H18" s="10">
        <f>IF(17&gt;=21,SUMPRODUCT(B2:B18+C2:C18*160)/21,0)</f>
        <v/>
      </c>
      <c r="I18" s="10">
        <f>IF(H18&gt;0,G18/H18,0)</f>
        <v/>
      </c>
    </row>
    <row r="19">
      <c r="A19" s="5" t="inlineStr">
        <is>
          <t>2026-04-21</t>
        </is>
      </c>
      <c r="B19" s="6" t="n">
        <v>60</v>
      </c>
      <c r="C19" s="6" t="n">
        <v>0</v>
      </c>
      <c r="D19" s="7">
        <f>D18+B19</f>
        <v/>
      </c>
      <c r="E19" s="7">
        <f>E18+C19</f>
        <v/>
      </c>
      <c r="F19" s="7">
        <f>D19/160+E19</f>
        <v/>
      </c>
      <c r="G19" s="7">
        <f>MAX((80-F19)*160,0)</f>
        <v/>
      </c>
      <c r="H19" s="7">
        <f>IF(18&gt;=21,SUMPRODUCT(B2:B19+C2:C19*160)/21,0)</f>
        <v/>
      </c>
      <c r="I19" s="7">
        <f>IF(H19&gt;0,G19/H19,0)</f>
        <v/>
      </c>
    </row>
    <row r="20">
      <c r="A20" s="8" t="inlineStr">
        <is>
          <t>2026-04-22</t>
        </is>
      </c>
      <c r="B20" s="9" t="n">
        <v>60</v>
      </c>
      <c r="C20" s="9" t="n">
        <v>0</v>
      </c>
      <c r="D20" s="10">
        <f>D19+B20</f>
        <v/>
      </c>
      <c r="E20" s="10">
        <f>E19+C20</f>
        <v/>
      </c>
      <c r="F20" s="10">
        <f>D20/160+E20</f>
        <v/>
      </c>
      <c r="G20" s="10">
        <f>MAX((80-F20)*160,0)</f>
        <v/>
      </c>
      <c r="H20" s="10">
        <f>IF(19&gt;=21,SUMPRODUCT(B2:B20+C2:C20*160)/21,0)</f>
        <v/>
      </c>
      <c r="I20" s="10">
        <f>IF(H20&gt;0,G20/H20,0)</f>
        <v/>
      </c>
    </row>
    <row r="21">
      <c r="A21" s="5" t="inlineStr">
        <is>
          <t>2026-04-23</t>
        </is>
      </c>
      <c r="B21" s="6" t="n">
        <v>0</v>
      </c>
      <c r="C21" s="6" t="n">
        <v>0</v>
      </c>
      <c r="D21" s="7">
        <f>D20+B21</f>
        <v/>
      </c>
      <c r="E21" s="7">
        <f>E20+C21</f>
        <v/>
      </c>
      <c r="F21" s="7">
        <f>D21/160+E21</f>
        <v/>
      </c>
      <c r="G21" s="7">
        <f>MAX((80-F21)*160,0)</f>
        <v/>
      </c>
      <c r="H21" s="7">
        <f>IF(20&gt;=21,SUMPRODUCT(B2:B21+C2:C21*160)/21,0)</f>
        <v/>
      </c>
      <c r="I21" s="7">
        <f>IF(H21&gt;0,G21/H21,0)</f>
        <v/>
      </c>
    </row>
    <row r="22">
      <c r="A22" s="8" t="inlineStr">
        <is>
          <t>2026-04-24</t>
        </is>
      </c>
      <c r="B22" s="9" t="n">
        <v>260</v>
      </c>
      <c r="C22" s="9" t="n">
        <v>0</v>
      </c>
      <c r="D22" s="10">
        <f>D21+B22</f>
        <v/>
      </c>
      <c r="E22" s="10">
        <f>E21+C22</f>
        <v/>
      </c>
      <c r="F22" s="10">
        <f>D22/160+E22</f>
        <v/>
      </c>
      <c r="G22" s="10">
        <f>MAX((80-F22)*160,0)</f>
        <v/>
      </c>
      <c r="H22" s="10">
        <f>IF(21&gt;=21,SUMPRODUCT(B2:B22+C2:C22*160)/21,0)</f>
        <v/>
      </c>
      <c r="I22" s="10">
        <f>IF(H22&gt;0,G22/H22,0)</f>
        <v/>
      </c>
    </row>
    <row r="23">
      <c r="A23" s="5" t="inlineStr">
        <is>
          <t>2026-04-25</t>
        </is>
      </c>
      <c r="B23" s="6" t="n">
        <v>0</v>
      </c>
      <c r="C23" s="6" t="n">
        <v>0</v>
      </c>
      <c r="D23" s="7">
        <f>D22+B23</f>
        <v/>
      </c>
      <c r="E23" s="7">
        <f>E22+C23</f>
        <v/>
      </c>
      <c r="F23" s="7">
        <f>D23/160+E23</f>
        <v/>
      </c>
      <c r="G23" s="7">
        <f>MAX((80-F23)*160,0)</f>
        <v/>
      </c>
      <c r="H23" s="7">
        <f>IF(21&gt;=21,SUMPRODUCT(B3:B23+C3:C23*160)/21,0)</f>
        <v/>
      </c>
      <c r="I23" s="7">
        <f>IF(H23&gt;0,G23/H23,0)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2026-04-25T18:01:16Z</dcterms:modified>
  <cp:lastModifiedBy>Rianna Santra</cp:lastModifiedBy>
</cp:coreProperties>
</file>