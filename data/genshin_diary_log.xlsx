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880" yWindow="10380" windowWidth="24680" windowHeight="10260" tabRatio="600" firstSheet="0" activeTab="0" autoFilterDateGrouping="1"/>
  </bookViews>
  <sheets>
    <sheet name="Diary 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color rgb="FF000000"/>
      <sz val="11"/>
    </font>
    <font>
      <name val="Arial"/>
      <family val="2"/>
      <color rgb="FF0000FF"/>
      <sz val="11"/>
    </font>
    <font>
      <name val="Arial"/>
      <color rgb="00000000"/>
    </font>
    <font>
      <name val="Arial"/>
      <color rgb="000000FF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3" fillId="3" borderId="1" pivotButton="0" quotePrefix="0" xfId="0"/>
    <xf numFmtId="2" fontId="2" fillId="3" borderId="1" pivotButton="0" quotePrefix="0" xfId="0"/>
    <xf numFmtId="14" fontId="0" fillId="3" borderId="1" pivotButton="0" quotePrefix="0" xfId="0"/>
    <xf numFmtId="0" fontId="0" fillId="0" borderId="2" pivotButton="0" quotePrefix="0" xfId="0"/>
    <xf numFmtId="0" fontId="5" fillId="0" borderId="2" pivotButton="0" quotePrefix="0" xfId="0"/>
    <xf numFmtId="2" fontId="4" fillId="0" borderId="2" pivotButton="0" quotePrefix="0" xfId="0"/>
    <xf numFmtId="0" fontId="0" fillId="4" borderId="2" pivotButton="0" quotePrefix="0" xfId="0"/>
    <xf numFmtId="0" fontId="5" fillId="4" borderId="2" pivotButton="0" quotePrefix="0" xfId="0"/>
    <xf numFmtId="2" fontId="4" fillId="4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ColWidth="8.83203125" defaultRowHeight="15"/>
  <cols>
    <col width="12" customWidth="1" min="1" max="1"/>
    <col width="20" customWidth="1" min="2" max="2"/>
    <col width="16" customWidth="1" min="3" max="3"/>
    <col width="18" customWidth="1" min="4" max="4"/>
    <col width="8" customWidth="1" min="5" max="5"/>
    <col width="14" customWidth="1" min="6" max="6"/>
    <col width="28" customWidth="1" min="7" max="7"/>
    <col width="18" customWidth="1" min="8" max="8"/>
    <col width="26" customWidth="1" min="9" max="9"/>
  </cols>
  <sheetData>
    <row r="1">
      <c r="A1" s="1" t="inlineStr">
        <is>
          <t>Date</t>
        </is>
      </c>
      <c r="B1" s="1" t="inlineStr">
        <is>
          <t>Net Currency Gain</t>
        </is>
      </c>
      <c r="C1" s="1" t="inlineStr">
        <is>
          <t>Pulls Net Gain</t>
        </is>
      </c>
      <c r="D1" s="1" t="inlineStr">
        <is>
          <t>Primogems</t>
        </is>
      </c>
      <c r="E1" s="1" t="inlineStr">
        <is>
          <t>Pulls</t>
        </is>
      </c>
      <c r="F1" s="1" t="inlineStr">
        <is>
          <t>Total Pulls</t>
        </is>
      </c>
      <c r="G1" s="1" t="inlineStr">
        <is>
          <t>Currency Needed for 5 Star</t>
        </is>
      </c>
      <c r="H1" s="1" t="inlineStr">
        <is>
          <t>3-Week Avg Gain</t>
        </is>
      </c>
      <c r="I1" s="1" t="inlineStr">
        <is>
          <t>Estimated Days Til 5 Star</t>
        </is>
      </c>
    </row>
    <row r="2">
      <c r="A2" s="4" t="n">
        <v>46102</v>
      </c>
      <c r="B2" s="2" t="n">
        <v>0</v>
      </c>
      <c r="C2" s="2" t="n">
        <v>0</v>
      </c>
      <c r="D2" s="3">
        <f>B2</f>
        <v/>
      </c>
      <c r="E2" s="3">
        <f>C2</f>
        <v/>
      </c>
      <c r="F2" s="3">
        <f>D2/160+E2</f>
        <v/>
      </c>
      <c r="G2" s="3">
        <f>MAX((80-F2)*160,0)</f>
        <v/>
      </c>
      <c r="H2" s="3">
        <f>IF(1&gt;=21,SUMPRODUCT(B2:B2+C2:C2*160)/21,0)</f>
        <v/>
      </c>
      <c r="I2" s="3">
        <f>IF(H2&gt;0,G2/H2,0)</f>
        <v/>
      </c>
    </row>
    <row r="3">
      <c r="A3" s="5" t="inlineStr">
        <is>
          <t>2026-03-22</t>
        </is>
      </c>
      <c r="B3" s="6" t="n">
        <v>0</v>
      </c>
      <c r="C3" s="6" t="n">
        <v>0</v>
      </c>
      <c r="D3" s="7">
        <f>D2+B3</f>
        <v/>
      </c>
      <c r="E3" s="7">
        <f>E2+C3</f>
        <v/>
      </c>
      <c r="F3" s="7">
        <f>D3/160+E3</f>
        <v/>
      </c>
      <c r="G3" s="7">
        <f>MAX((80-F3)*160,0)</f>
        <v/>
      </c>
      <c r="H3" s="7">
        <f>IF(2&gt;=21,SUMPRODUCT(B2:B3+C2:C3*160)/21,0)</f>
        <v/>
      </c>
      <c r="I3" s="7">
        <f>IF(H3&gt;0,G3/H3,0)</f>
        <v/>
      </c>
    </row>
    <row r="4">
      <c r="A4" s="8" t="inlineStr">
        <is>
          <t>2026-03-23</t>
        </is>
      </c>
      <c r="B4" s="9" t="n">
        <v>0</v>
      </c>
      <c r="C4" s="9" t="n">
        <v>0</v>
      </c>
      <c r="D4" s="10">
        <f>D3+B4</f>
        <v/>
      </c>
      <c r="E4" s="10">
        <f>E3+C4</f>
        <v/>
      </c>
      <c r="F4" s="10">
        <f>D4/160+E4</f>
        <v/>
      </c>
      <c r="G4" s="10">
        <f>MAX((80-F4)*160,0)</f>
        <v/>
      </c>
      <c r="H4" s="10">
        <f>IF(3&gt;=21,SUMPRODUCT(B2:B4+C2:C4*160)/21,0)</f>
        <v/>
      </c>
      <c r="I4" s="10">
        <f>IF(H4&gt;0,G4/H4,0)</f>
        <v/>
      </c>
    </row>
    <row r="5">
      <c r="A5" s="5" t="inlineStr">
        <is>
          <t>2026-03-24</t>
        </is>
      </c>
      <c r="B5" s="6" t="n">
        <v>0</v>
      </c>
      <c r="C5" s="6" t="n">
        <v>0</v>
      </c>
      <c r="D5" s="7">
        <f>D4+B5</f>
        <v/>
      </c>
      <c r="E5" s="7">
        <f>E4+C5</f>
        <v/>
      </c>
      <c r="F5" s="7">
        <f>D5/160+E5</f>
        <v/>
      </c>
      <c r="G5" s="7">
        <f>MAX((80-F5)*160,0)</f>
        <v/>
      </c>
      <c r="H5" s="7">
        <f>IF(4&gt;=21,SUMPRODUCT(B2:B5+C2:C5*160)/21,0)</f>
        <v/>
      </c>
      <c r="I5" s="7">
        <f>IF(H5&gt;0,G5/H5,0)</f>
        <v/>
      </c>
    </row>
    <row r="6">
      <c r="A6" s="8" t="inlineStr">
        <is>
          <t>2026-03-25</t>
        </is>
      </c>
      <c r="B6" s="9" t="n">
        <v>0</v>
      </c>
      <c r="C6" s="9" t="n">
        <v>0</v>
      </c>
      <c r="D6" s="10">
        <f>D5+B6</f>
        <v/>
      </c>
      <c r="E6" s="10">
        <f>E5+C6</f>
        <v/>
      </c>
      <c r="F6" s="10">
        <f>D6/160+E6</f>
        <v/>
      </c>
      <c r="G6" s="10">
        <f>MAX((80-F6)*160,0)</f>
        <v/>
      </c>
      <c r="H6" s="10">
        <f>IF(5&gt;=21,SUMPRODUCT(B2:B6+C2:C6*160)/21,0)</f>
        <v/>
      </c>
      <c r="I6" s="10">
        <f>IF(H6&gt;0,G6/H6,0)</f>
        <v/>
      </c>
    </row>
    <row r="7">
      <c r="A7" s="5" t="inlineStr">
        <is>
          <t>2026-03-26</t>
        </is>
      </c>
      <c r="B7" s="6" t="n">
        <v>0</v>
      </c>
      <c r="C7" s="6" t="n">
        <v>0</v>
      </c>
      <c r="D7" s="7">
        <f>D6+B7</f>
        <v/>
      </c>
      <c r="E7" s="7">
        <f>E6+C7</f>
        <v/>
      </c>
      <c r="F7" s="7">
        <f>D7/160+E7</f>
        <v/>
      </c>
      <c r="G7" s="7">
        <f>MAX((80-F7)*160,0)</f>
        <v/>
      </c>
      <c r="H7" s="7">
        <f>IF(6&gt;=21,SUMPRODUCT(B2:B7+C2:C7*160)/21,0)</f>
        <v/>
      </c>
      <c r="I7" s="7">
        <f>IF(H7&gt;0,G7/H7,0)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2026-03-22T04:05:25Z</dcterms:created>
  <dcterms:modified xsi:type="dcterms:W3CDTF">2026-03-26T18:14:10Z</dcterms:modified>
  <cp:lastModifiedBy>Rianna Santra</cp:lastModifiedBy>
</cp:coreProperties>
</file>